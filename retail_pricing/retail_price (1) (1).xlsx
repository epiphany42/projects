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AIDAN\Downloads\"/>
    </mc:Choice>
  </mc:AlternateContent>
  <xr:revisionPtr revIDLastSave="0" documentId="13_ncr:1_{9AEAF5F7-2AE4-4CE1-A617-0B308A4760CC}" xr6:coauthVersionLast="47" xr6:coauthVersionMax="47" xr10:uidLastSave="{00000000-0000-0000-0000-000000000000}"/>
  <bookViews>
    <workbookView xWindow="-120" yWindow="-120" windowWidth="25440" windowHeight="15390" activeTab="1" xr2:uid="{53C9B21B-E4FF-471B-A002-D1CE5F2F6E09}"/>
  </bookViews>
  <sheets>
    <sheet name="pivot_table" sheetId="2" r:id="rId1"/>
    <sheet name="analysis" sheetId="3" r:id="rId2"/>
    <sheet name="retail_price" sheetId="1" r:id="rId3"/>
  </sheets>
  <definedNames>
    <definedName name="_xlnm._FilterDatabase" localSheetId="2" hidden="1">retail_price!$A$1:$AD$1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2" i="1" l="1"/>
  <c r="AG3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115" i="1"/>
  <c r="AG116" i="1"/>
  <c r="AG117" i="1"/>
  <c r="AG118" i="1"/>
  <c r="AG119" i="1"/>
  <c r="AG120" i="1"/>
  <c r="AG121" i="1"/>
  <c r="AG122" i="1"/>
  <c r="AG123" i="1"/>
  <c r="AG124" i="1"/>
  <c r="AG125" i="1"/>
  <c r="AG126" i="1"/>
  <c r="AG127" i="1"/>
  <c r="AG128" i="1"/>
  <c r="AG129" i="1"/>
  <c r="AG130" i="1"/>
  <c r="AG131" i="1"/>
  <c r="AG132" i="1"/>
  <c r="AG133" i="1"/>
  <c r="AG134" i="1"/>
  <c r="AG135" i="1"/>
  <c r="AG136" i="1"/>
  <c r="AG137" i="1"/>
  <c r="AG138" i="1"/>
  <c r="AG139" i="1"/>
  <c r="AG140" i="1"/>
  <c r="AG141" i="1"/>
  <c r="AG142" i="1"/>
  <c r="AG143" i="1"/>
  <c r="AG144" i="1"/>
  <c r="AG145" i="1"/>
  <c r="AG146" i="1"/>
  <c r="AG147" i="1"/>
  <c r="AG148" i="1"/>
  <c r="AG149" i="1"/>
  <c r="AG150" i="1"/>
  <c r="AG151" i="1"/>
  <c r="AG152" i="1"/>
  <c r="AG153" i="1"/>
  <c r="AG154" i="1"/>
  <c r="AG155" i="1"/>
  <c r="AG156" i="1"/>
  <c r="AG157" i="1"/>
  <c r="AG158" i="1"/>
  <c r="AG159" i="1"/>
  <c r="AG160" i="1"/>
  <c r="AG161" i="1"/>
  <c r="AG162" i="1"/>
  <c r="AG163" i="1"/>
  <c r="AG164" i="1"/>
  <c r="AG165" i="1"/>
  <c r="AG166" i="1"/>
  <c r="AG167" i="1"/>
  <c r="AG168" i="1"/>
  <c r="AG169" i="1"/>
  <c r="AG170" i="1"/>
  <c r="AG171" i="1"/>
  <c r="AG172" i="1"/>
  <c r="AG173" i="1"/>
  <c r="AG174" i="1"/>
  <c r="AG175" i="1"/>
  <c r="AG176" i="1"/>
  <c r="AG177" i="1"/>
  <c r="AG178" i="1"/>
  <c r="AG179" i="1"/>
  <c r="AG180" i="1"/>
  <c r="AG181" i="1"/>
  <c r="AG182" i="1"/>
  <c r="AG183" i="1"/>
  <c r="AG184" i="1"/>
  <c r="AG185" i="1"/>
  <c r="AG186" i="1"/>
  <c r="AG187" i="1"/>
  <c r="AG188" i="1"/>
  <c r="AG189" i="1"/>
  <c r="AG190" i="1"/>
  <c r="AG191" i="1"/>
  <c r="AG192" i="1"/>
  <c r="AG193" i="1"/>
  <c r="AG194" i="1"/>
  <c r="AG195" i="1"/>
  <c r="AG196" i="1"/>
  <c r="AG197" i="1"/>
  <c r="AG198" i="1"/>
  <c r="AG199" i="1"/>
  <c r="AG200" i="1"/>
  <c r="AG201" i="1"/>
  <c r="AG202" i="1"/>
  <c r="AG203" i="1"/>
  <c r="AG204" i="1"/>
  <c r="AG205" i="1"/>
  <c r="AG206" i="1"/>
  <c r="AG207" i="1"/>
  <c r="AG208" i="1"/>
  <c r="AG209" i="1"/>
  <c r="AG210" i="1"/>
  <c r="AG211" i="1"/>
  <c r="AG212" i="1"/>
  <c r="AG213" i="1"/>
  <c r="AG214" i="1"/>
  <c r="AG215" i="1"/>
  <c r="AG216" i="1"/>
  <c r="AG217" i="1"/>
  <c r="AG218" i="1"/>
  <c r="AG219" i="1"/>
  <c r="AG220" i="1"/>
  <c r="AG221" i="1"/>
  <c r="AG222" i="1"/>
  <c r="AG223" i="1"/>
  <c r="AG224" i="1"/>
  <c r="AG225" i="1"/>
  <c r="AG226" i="1"/>
  <c r="AG227" i="1"/>
  <c r="AG228" i="1"/>
  <c r="AG229" i="1"/>
  <c r="AG230" i="1"/>
  <c r="AG231" i="1"/>
  <c r="AG232" i="1"/>
  <c r="AG233" i="1"/>
  <c r="AG234" i="1"/>
  <c r="AG235" i="1"/>
  <c r="AG236" i="1"/>
  <c r="AG237" i="1"/>
  <c r="AG238" i="1"/>
  <c r="AG239" i="1"/>
  <c r="AG240" i="1"/>
  <c r="AG241" i="1"/>
  <c r="AG242" i="1"/>
  <c r="AG243" i="1"/>
  <c r="AG244" i="1"/>
  <c r="AG245" i="1"/>
  <c r="AG246" i="1"/>
  <c r="AG247" i="1"/>
  <c r="AG248" i="1"/>
  <c r="AG249" i="1"/>
  <c r="AG250" i="1"/>
  <c r="AG251" i="1"/>
  <c r="AG252" i="1"/>
  <c r="AG253" i="1"/>
  <c r="AG254" i="1"/>
  <c r="AG255" i="1"/>
  <c r="AG256" i="1"/>
  <c r="AG257" i="1"/>
  <c r="AG258" i="1"/>
  <c r="AG259" i="1"/>
  <c r="AG260" i="1"/>
  <c r="AG261" i="1"/>
  <c r="AG262" i="1"/>
  <c r="AG263" i="1"/>
  <c r="AG264" i="1"/>
  <c r="AG265" i="1"/>
  <c r="AG266" i="1"/>
  <c r="AG267" i="1"/>
  <c r="AG268" i="1"/>
  <c r="AG269" i="1"/>
  <c r="AG270" i="1"/>
  <c r="AG271" i="1"/>
  <c r="AG272" i="1"/>
  <c r="AG273" i="1"/>
  <c r="AG274" i="1"/>
  <c r="AG275" i="1"/>
  <c r="AG276" i="1"/>
  <c r="AG277" i="1"/>
  <c r="AG278" i="1"/>
  <c r="AG279" i="1"/>
  <c r="AG280" i="1"/>
  <c r="AG281" i="1"/>
  <c r="AG282" i="1"/>
  <c r="AG283" i="1"/>
  <c r="AG284" i="1"/>
  <c r="AG285" i="1"/>
  <c r="AG286" i="1"/>
  <c r="AG287" i="1"/>
  <c r="AG288" i="1"/>
  <c r="AG289" i="1"/>
  <c r="AG290" i="1"/>
  <c r="AG291" i="1"/>
  <c r="AG292" i="1"/>
  <c r="AG293" i="1"/>
  <c r="AG294" i="1"/>
  <c r="AG295" i="1"/>
  <c r="AG296" i="1"/>
  <c r="AG297" i="1"/>
  <c r="AG298" i="1"/>
  <c r="AG299" i="1"/>
  <c r="AG300" i="1"/>
  <c r="AG301" i="1"/>
  <c r="AG302" i="1"/>
  <c r="AG303" i="1"/>
  <c r="AG304" i="1"/>
  <c r="AG305" i="1"/>
  <c r="AG306" i="1"/>
  <c r="AG307" i="1"/>
  <c r="AG308" i="1"/>
  <c r="AG309" i="1"/>
  <c r="AG310" i="1"/>
  <c r="AG311" i="1"/>
  <c r="AG312" i="1"/>
  <c r="AG313" i="1"/>
  <c r="AG314" i="1"/>
  <c r="AG315" i="1"/>
  <c r="AG316" i="1"/>
  <c r="AG317" i="1"/>
  <c r="AG318" i="1"/>
  <c r="AG319" i="1"/>
  <c r="AG320" i="1"/>
  <c r="AG321" i="1"/>
  <c r="AG322" i="1"/>
  <c r="AG323" i="1"/>
  <c r="AG324" i="1"/>
  <c r="AG325" i="1"/>
  <c r="AG326" i="1"/>
  <c r="AG327" i="1"/>
  <c r="AG328" i="1"/>
  <c r="AG329" i="1"/>
  <c r="AG330" i="1"/>
  <c r="AG331" i="1"/>
  <c r="AG332" i="1"/>
  <c r="AG333" i="1"/>
  <c r="AG334" i="1"/>
  <c r="AG335" i="1"/>
  <c r="AG336" i="1"/>
  <c r="AG337" i="1"/>
  <c r="AG338" i="1"/>
  <c r="AG339" i="1"/>
  <c r="AG340" i="1"/>
  <c r="AG341" i="1"/>
  <c r="AG342" i="1"/>
  <c r="AG343" i="1"/>
  <c r="AG344" i="1"/>
  <c r="AG345" i="1"/>
  <c r="AG346" i="1"/>
  <c r="AG347" i="1"/>
  <c r="AG348" i="1"/>
  <c r="AG349" i="1"/>
  <c r="AG350" i="1"/>
  <c r="AG351" i="1"/>
  <c r="AG352" i="1"/>
  <c r="AG353" i="1"/>
  <c r="AG354" i="1"/>
  <c r="AG355" i="1"/>
  <c r="AG356" i="1"/>
  <c r="AG357" i="1"/>
  <c r="AG358" i="1"/>
  <c r="AG359" i="1"/>
  <c r="AG360" i="1"/>
  <c r="AG361" i="1"/>
  <c r="AG362" i="1"/>
  <c r="AG363" i="1"/>
  <c r="AG364" i="1"/>
  <c r="AG365" i="1"/>
  <c r="AG366" i="1"/>
  <c r="AG367" i="1"/>
  <c r="AG368" i="1"/>
  <c r="AG369" i="1"/>
  <c r="AG370" i="1"/>
  <c r="AG371" i="1"/>
  <c r="AG372" i="1"/>
  <c r="AG373" i="1"/>
  <c r="AG374" i="1"/>
  <c r="AG375" i="1"/>
  <c r="AG376" i="1"/>
  <c r="AG377" i="1"/>
  <c r="AG378" i="1"/>
  <c r="AG379" i="1"/>
  <c r="AG380" i="1"/>
  <c r="AG381" i="1"/>
  <c r="AG382" i="1"/>
  <c r="AG383" i="1"/>
  <c r="AG384" i="1"/>
  <c r="AG385" i="1"/>
  <c r="AG386" i="1"/>
  <c r="AG387" i="1"/>
  <c r="AG388" i="1"/>
  <c r="AG389" i="1"/>
  <c r="AG390" i="1"/>
  <c r="AG391" i="1"/>
  <c r="AG392" i="1"/>
  <c r="AG393" i="1"/>
  <c r="AG394" i="1"/>
  <c r="AG395" i="1"/>
  <c r="AG396" i="1"/>
  <c r="AG397" i="1"/>
  <c r="AG398" i="1"/>
  <c r="AG399" i="1"/>
  <c r="AG400" i="1"/>
  <c r="AG401" i="1"/>
  <c r="AG402" i="1"/>
  <c r="AG403" i="1"/>
  <c r="AG404" i="1"/>
  <c r="AG405" i="1"/>
  <c r="AG406" i="1"/>
  <c r="AG407" i="1"/>
  <c r="AG408" i="1"/>
  <c r="AG409" i="1"/>
  <c r="AG410" i="1"/>
  <c r="AG411" i="1"/>
  <c r="AG412" i="1"/>
  <c r="AG413" i="1"/>
  <c r="AG414" i="1"/>
  <c r="AG415" i="1"/>
  <c r="AG416" i="1"/>
  <c r="AG417" i="1"/>
  <c r="AG418" i="1"/>
  <c r="AG419" i="1"/>
  <c r="AG420" i="1"/>
  <c r="AG421" i="1"/>
  <c r="AG422" i="1"/>
  <c r="AG423" i="1"/>
  <c r="AG424" i="1"/>
  <c r="AG425" i="1"/>
  <c r="AG426" i="1"/>
  <c r="AG427" i="1"/>
  <c r="AG428" i="1"/>
  <c r="AG429" i="1"/>
  <c r="AG430" i="1"/>
  <c r="AG431" i="1"/>
  <c r="AG432" i="1"/>
  <c r="AG433" i="1"/>
  <c r="AG434" i="1"/>
  <c r="AG435" i="1"/>
  <c r="AG436" i="1"/>
  <c r="AG437" i="1"/>
  <c r="AG438" i="1"/>
  <c r="AG439" i="1"/>
  <c r="AG440" i="1"/>
  <c r="AG441" i="1"/>
  <c r="AG442" i="1"/>
  <c r="AG443" i="1"/>
  <c r="AG444" i="1"/>
  <c r="AG445" i="1"/>
  <c r="AG446" i="1"/>
  <c r="AG447" i="1"/>
  <c r="AG448" i="1"/>
  <c r="AG449" i="1"/>
  <c r="AG450" i="1"/>
  <c r="AG451" i="1"/>
  <c r="AG452" i="1"/>
  <c r="AG453" i="1"/>
  <c r="AG454" i="1"/>
  <c r="AG455" i="1"/>
  <c r="AG456" i="1"/>
  <c r="AG457" i="1"/>
  <c r="AG458" i="1"/>
  <c r="AG459" i="1"/>
  <c r="AG460" i="1"/>
  <c r="AG461" i="1"/>
  <c r="AG462" i="1"/>
  <c r="AG463" i="1"/>
  <c r="AG464" i="1"/>
  <c r="AG465" i="1"/>
  <c r="AG466" i="1"/>
  <c r="AG467" i="1"/>
  <c r="AG468" i="1"/>
  <c r="AG469" i="1"/>
  <c r="AG470" i="1"/>
  <c r="AG471" i="1"/>
  <c r="AG472" i="1"/>
  <c r="AG473" i="1"/>
  <c r="AG474" i="1"/>
  <c r="AG475" i="1"/>
  <c r="AG476" i="1"/>
  <c r="AG477" i="1"/>
  <c r="AG478" i="1"/>
  <c r="AG479" i="1"/>
  <c r="AG480" i="1"/>
  <c r="AG481" i="1"/>
  <c r="AG482" i="1"/>
  <c r="AG483" i="1"/>
  <c r="AG484" i="1"/>
  <c r="AG485" i="1"/>
  <c r="AG486" i="1"/>
  <c r="AG487" i="1"/>
  <c r="AG488" i="1"/>
  <c r="AG489" i="1"/>
  <c r="AG490" i="1"/>
  <c r="AG491" i="1"/>
  <c r="AG492" i="1"/>
  <c r="AG493" i="1"/>
  <c r="AG494" i="1"/>
  <c r="AG495" i="1"/>
  <c r="AG496" i="1"/>
  <c r="AG497" i="1"/>
  <c r="AG498" i="1"/>
  <c r="AG499" i="1"/>
  <c r="AG500" i="1"/>
  <c r="AG501" i="1"/>
  <c r="AG502" i="1"/>
  <c r="AG503" i="1"/>
  <c r="AG504" i="1"/>
  <c r="AG505" i="1"/>
  <c r="AG506" i="1"/>
  <c r="AG507" i="1"/>
  <c r="AG508" i="1"/>
  <c r="AG509" i="1"/>
  <c r="AG510" i="1"/>
  <c r="AG511" i="1"/>
  <c r="AG512" i="1"/>
  <c r="AG513" i="1"/>
  <c r="AG514" i="1"/>
  <c r="AG515" i="1"/>
  <c r="AG516" i="1"/>
  <c r="AG517" i="1"/>
  <c r="AG518" i="1"/>
  <c r="AG519" i="1"/>
  <c r="AG520" i="1"/>
  <c r="AG521" i="1"/>
  <c r="AG522" i="1"/>
  <c r="AG523" i="1"/>
  <c r="AG524" i="1"/>
  <c r="AG525" i="1"/>
  <c r="AG526" i="1"/>
  <c r="AG527" i="1"/>
  <c r="AG528" i="1"/>
  <c r="AG529" i="1"/>
  <c r="AG530" i="1"/>
  <c r="AG531" i="1"/>
  <c r="AG532" i="1"/>
  <c r="AG533" i="1"/>
  <c r="AG534" i="1"/>
  <c r="AG535" i="1"/>
  <c r="AG536" i="1"/>
  <c r="AG537" i="1"/>
  <c r="AG538" i="1"/>
  <c r="AG539" i="1"/>
  <c r="AG540" i="1"/>
  <c r="AG541" i="1"/>
  <c r="AG542" i="1"/>
  <c r="AG543" i="1"/>
  <c r="AG544" i="1"/>
  <c r="AG545" i="1"/>
  <c r="AG546" i="1"/>
  <c r="AG547" i="1"/>
  <c r="AG548" i="1"/>
  <c r="AG549" i="1"/>
  <c r="AG550" i="1"/>
  <c r="AG551" i="1"/>
  <c r="AG552" i="1"/>
  <c r="AG553" i="1"/>
  <c r="AG554" i="1"/>
  <c r="AG555" i="1"/>
  <c r="AG556" i="1"/>
  <c r="AG557" i="1"/>
  <c r="AG558" i="1"/>
  <c r="AG559" i="1"/>
  <c r="AG560" i="1"/>
  <c r="AG561" i="1"/>
  <c r="AG562" i="1"/>
  <c r="AG563" i="1"/>
  <c r="AG564" i="1"/>
  <c r="AG565" i="1"/>
  <c r="AG566" i="1"/>
  <c r="AG567" i="1"/>
  <c r="AG568" i="1"/>
  <c r="AG569" i="1"/>
  <c r="AG570" i="1"/>
  <c r="AG571" i="1"/>
  <c r="AG572" i="1"/>
  <c r="AG573" i="1"/>
  <c r="AG574" i="1"/>
  <c r="AG575" i="1"/>
  <c r="AG576" i="1"/>
  <c r="AG577" i="1"/>
  <c r="AG578" i="1"/>
  <c r="AG579" i="1"/>
  <c r="AG580" i="1"/>
  <c r="AG581" i="1"/>
  <c r="AG582" i="1"/>
  <c r="AG583" i="1"/>
  <c r="AG584" i="1"/>
  <c r="AG585" i="1"/>
  <c r="AG586" i="1"/>
  <c r="AG587" i="1"/>
  <c r="AG588" i="1"/>
  <c r="AG589" i="1"/>
  <c r="AG590" i="1"/>
  <c r="AG591" i="1"/>
  <c r="AG592" i="1"/>
  <c r="AG593" i="1"/>
  <c r="AG594" i="1"/>
  <c r="AG595" i="1"/>
  <c r="AG596" i="1"/>
  <c r="AG597" i="1"/>
  <c r="AG598" i="1"/>
  <c r="AG599" i="1"/>
  <c r="AG600" i="1"/>
  <c r="AG601" i="1"/>
  <c r="AG602" i="1"/>
  <c r="AG603" i="1"/>
  <c r="AG604" i="1"/>
  <c r="AG605" i="1"/>
  <c r="AG606" i="1"/>
  <c r="AG607" i="1"/>
  <c r="AG608" i="1"/>
  <c r="AG609" i="1"/>
  <c r="AG610" i="1"/>
  <c r="AG611" i="1"/>
  <c r="AG612" i="1"/>
  <c r="AG613" i="1"/>
  <c r="AG614" i="1"/>
  <c r="AG615" i="1"/>
  <c r="AG616" i="1"/>
  <c r="AG617" i="1"/>
  <c r="AG618" i="1"/>
  <c r="AG619" i="1"/>
  <c r="AG620" i="1"/>
  <c r="AG621" i="1"/>
  <c r="AG622" i="1"/>
  <c r="AG623" i="1"/>
  <c r="AG624" i="1"/>
  <c r="AG625" i="1"/>
  <c r="AG626" i="1"/>
  <c r="AG627" i="1"/>
  <c r="AG628" i="1"/>
  <c r="AG629" i="1"/>
  <c r="AG630" i="1"/>
  <c r="AG631" i="1"/>
  <c r="AG632" i="1"/>
  <c r="AG633" i="1"/>
  <c r="AG634" i="1"/>
  <c r="AG635" i="1"/>
  <c r="AG636" i="1"/>
  <c r="AG637" i="1"/>
  <c r="AG638" i="1"/>
  <c r="AG639" i="1"/>
  <c r="AG640" i="1"/>
  <c r="AG641" i="1"/>
  <c r="AG642" i="1"/>
  <c r="AG643" i="1"/>
  <c r="AG644" i="1"/>
  <c r="AG645" i="1"/>
  <c r="AG646" i="1"/>
  <c r="AG647" i="1"/>
  <c r="AG648" i="1"/>
  <c r="AG649" i="1"/>
  <c r="AG650" i="1"/>
  <c r="AG651" i="1"/>
  <c r="AG652" i="1"/>
  <c r="AG653" i="1"/>
  <c r="AG654" i="1"/>
  <c r="AG655" i="1"/>
  <c r="AG656" i="1"/>
  <c r="AG657" i="1"/>
  <c r="AG658" i="1"/>
  <c r="AG659" i="1"/>
  <c r="AG660" i="1"/>
  <c r="AG661" i="1"/>
  <c r="AG662" i="1"/>
  <c r="AG663" i="1"/>
  <c r="AG664" i="1"/>
  <c r="AG665" i="1"/>
  <c r="AG666" i="1"/>
  <c r="AG667" i="1"/>
  <c r="AG668" i="1"/>
  <c r="AG669" i="1"/>
  <c r="AG670" i="1"/>
  <c r="AG671" i="1"/>
  <c r="AG672" i="1"/>
  <c r="AG673" i="1"/>
  <c r="AG674" i="1"/>
  <c r="AG675" i="1"/>
  <c r="AG676" i="1"/>
  <c r="AG677" i="1"/>
  <c r="AF2" i="1"/>
  <c r="AF18" i="1"/>
  <c r="AF32" i="1"/>
  <c r="AF44" i="1"/>
  <c r="AF60" i="1"/>
  <c r="AF78" i="1"/>
  <c r="AF87" i="1"/>
  <c r="AF95" i="1"/>
  <c r="AF108" i="1"/>
  <c r="AF121" i="1"/>
  <c r="AF138" i="1"/>
  <c r="AF152" i="1"/>
  <c r="AF160" i="1"/>
  <c r="AF176" i="1"/>
  <c r="AF184" i="1"/>
  <c r="AF191" i="1"/>
  <c r="AF207" i="1"/>
  <c r="AF214" i="1"/>
  <c r="AF229" i="1"/>
  <c r="AF238" i="1"/>
  <c r="AF252" i="1"/>
  <c r="AF269" i="1"/>
  <c r="AF283" i="1"/>
  <c r="AF290" i="1"/>
  <c r="AF303" i="1"/>
  <c r="AF316" i="1"/>
  <c r="AF331" i="1"/>
  <c r="AF341" i="1"/>
  <c r="AF361" i="1"/>
  <c r="AF371" i="1"/>
  <c r="AF381" i="1"/>
  <c r="AF391" i="1"/>
  <c r="AF411" i="1"/>
  <c r="AF422" i="1"/>
  <c r="AF440" i="1"/>
  <c r="AF459" i="1"/>
  <c r="AF471" i="1"/>
  <c r="AF481" i="1"/>
  <c r="AF496" i="1"/>
  <c r="AF509" i="1"/>
  <c r="AF526" i="1"/>
  <c r="AF539" i="1"/>
  <c r="AF552" i="1"/>
  <c r="AF570" i="1"/>
  <c r="AF585" i="1"/>
  <c r="AF603" i="1"/>
  <c r="AF615" i="1"/>
  <c r="AF625" i="1"/>
  <c r="AF636" i="1"/>
  <c r="AF653" i="1"/>
  <c r="AF663" i="1"/>
  <c r="AF673" i="1"/>
  <c r="AE2" i="1"/>
  <c r="AF3" i="1" s="1"/>
  <c r="AE3" i="1"/>
  <c r="AF4" i="1" s="1"/>
  <c r="AE4" i="1"/>
  <c r="AF5" i="1" s="1"/>
  <c r="AE5" i="1"/>
  <c r="AF6" i="1" s="1"/>
  <c r="AE6" i="1"/>
  <c r="AF7" i="1" s="1"/>
  <c r="AE7" i="1"/>
  <c r="AF8" i="1" s="1"/>
  <c r="AE8" i="1"/>
  <c r="AF9" i="1" s="1"/>
  <c r="AE9" i="1"/>
  <c r="AF10" i="1" s="1"/>
  <c r="AE10" i="1"/>
  <c r="AF11" i="1" s="1"/>
  <c r="AE11" i="1"/>
  <c r="AF12" i="1" s="1"/>
  <c r="AE12" i="1"/>
  <c r="AF13" i="1" s="1"/>
  <c r="AE13" i="1"/>
  <c r="AF14" i="1" s="1"/>
  <c r="AE14" i="1"/>
  <c r="AF15" i="1" s="1"/>
  <c r="AE15" i="1"/>
  <c r="AF16" i="1" s="1"/>
  <c r="AE16" i="1"/>
  <c r="AF17" i="1" s="1"/>
  <c r="AE17" i="1"/>
  <c r="AE18" i="1"/>
  <c r="AF19" i="1" s="1"/>
  <c r="AE19" i="1"/>
  <c r="AF20" i="1" s="1"/>
  <c r="AE20" i="1"/>
  <c r="AF21" i="1" s="1"/>
  <c r="AE21" i="1"/>
  <c r="AF22" i="1" s="1"/>
  <c r="AE22" i="1"/>
  <c r="AF23" i="1" s="1"/>
  <c r="AE23" i="1"/>
  <c r="AF24" i="1" s="1"/>
  <c r="AE24" i="1"/>
  <c r="AF25" i="1" s="1"/>
  <c r="AE25" i="1"/>
  <c r="AF26" i="1" s="1"/>
  <c r="AE26" i="1"/>
  <c r="AF27" i="1" s="1"/>
  <c r="AE27" i="1"/>
  <c r="AF28" i="1" s="1"/>
  <c r="AE28" i="1"/>
  <c r="AF29" i="1" s="1"/>
  <c r="AE29" i="1"/>
  <c r="AF30" i="1" s="1"/>
  <c r="AE30" i="1"/>
  <c r="AF31" i="1" s="1"/>
  <c r="AE31" i="1"/>
  <c r="AE32" i="1"/>
  <c r="AF33" i="1" s="1"/>
  <c r="AE33" i="1"/>
  <c r="AF34" i="1" s="1"/>
  <c r="AE34" i="1"/>
  <c r="AF35" i="1" s="1"/>
  <c r="AE35" i="1"/>
  <c r="AF36" i="1" s="1"/>
  <c r="AE36" i="1"/>
  <c r="AF37" i="1" s="1"/>
  <c r="AE37" i="1"/>
  <c r="AF38" i="1" s="1"/>
  <c r="AE38" i="1"/>
  <c r="AF39" i="1" s="1"/>
  <c r="AE39" i="1"/>
  <c r="AF40" i="1" s="1"/>
  <c r="AE40" i="1"/>
  <c r="AF41" i="1" s="1"/>
  <c r="AE41" i="1"/>
  <c r="AF42" i="1" s="1"/>
  <c r="AE42" i="1"/>
  <c r="AF43" i="1" s="1"/>
  <c r="AE43" i="1"/>
  <c r="AE44" i="1"/>
  <c r="AF45" i="1" s="1"/>
  <c r="AE45" i="1"/>
  <c r="AF46" i="1" s="1"/>
  <c r="AE46" i="1"/>
  <c r="AF47" i="1" s="1"/>
  <c r="AE47" i="1"/>
  <c r="AF48" i="1" s="1"/>
  <c r="AE48" i="1"/>
  <c r="AF49" i="1" s="1"/>
  <c r="AE49" i="1"/>
  <c r="AF50" i="1" s="1"/>
  <c r="AE50" i="1"/>
  <c r="AF51" i="1" s="1"/>
  <c r="AE51" i="1"/>
  <c r="AF52" i="1" s="1"/>
  <c r="AE52" i="1"/>
  <c r="AF53" i="1" s="1"/>
  <c r="AE53" i="1"/>
  <c r="AF54" i="1" s="1"/>
  <c r="AE54" i="1"/>
  <c r="AF55" i="1" s="1"/>
  <c r="AE55" i="1"/>
  <c r="AF56" i="1" s="1"/>
  <c r="AE56" i="1"/>
  <c r="AF57" i="1" s="1"/>
  <c r="AE57" i="1"/>
  <c r="AF58" i="1" s="1"/>
  <c r="AE58" i="1"/>
  <c r="AF59" i="1" s="1"/>
  <c r="AE59" i="1"/>
  <c r="AE60" i="1"/>
  <c r="AF61" i="1" s="1"/>
  <c r="AE61" i="1"/>
  <c r="AF62" i="1" s="1"/>
  <c r="AE62" i="1"/>
  <c r="AF63" i="1" s="1"/>
  <c r="AE63" i="1"/>
  <c r="AF64" i="1" s="1"/>
  <c r="AE64" i="1"/>
  <c r="AF65" i="1" s="1"/>
  <c r="AE65" i="1"/>
  <c r="AF66" i="1" s="1"/>
  <c r="AE66" i="1"/>
  <c r="AF67" i="1" s="1"/>
  <c r="AE67" i="1"/>
  <c r="AF68" i="1" s="1"/>
  <c r="AE68" i="1"/>
  <c r="AF69" i="1" s="1"/>
  <c r="AE69" i="1"/>
  <c r="AF70" i="1" s="1"/>
  <c r="AE70" i="1"/>
  <c r="AF71" i="1" s="1"/>
  <c r="AE71" i="1"/>
  <c r="AF72" i="1" s="1"/>
  <c r="AE72" i="1"/>
  <c r="AF73" i="1" s="1"/>
  <c r="AE73" i="1"/>
  <c r="AF74" i="1" s="1"/>
  <c r="AE74" i="1"/>
  <c r="AF75" i="1" s="1"/>
  <c r="AE75" i="1"/>
  <c r="AF76" i="1" s="1"/>
  <c r="AE76" i="1"/>
  <c r="AF77" i="1" s="1"/>
  <c r="AE77" i="1"/>
  <c r="AE78" i="1"/>
  <c r="AF79" i="1" s="1"/>
  <c r="AE79" i="1"/>
  <c r="AF80" i="1" s="1"/>
  <c r="AE80" i="1"/>
  <c r="AF81" i="1" s="1"/>
  <c r="AE81" i="1"/>
  <c r="AF82" i="1" s="1"/>
  <c r="AE82" i="1"/>
  <c r="AF83" i="1" s="1"/>
  <c r="AE83" i="1"/>
  <c r="AF84" i="1" s="1"/>
  <c r="AE84" i="1"/>
  <c r="AF85" i="1" s="1"/>
  <c r="AE85" i="1"/>
  <c r="AF86" i="1" s="1"/>
  <c r="AE86" i="1"/>
  <c r="AE87" i="1"/>
  <c r="AF88" i="1" s="1"/>
  <c r="AE88" i="1"/>
  <c r="AF89" i="1" s="1"/>
  <c r="AE89" i="1"/>
  <c r="AF90" i="1" s="1"/>
  <c r="AE90" i="1"/>
  <c r="AF91" i="1" s="1"/>
  <c r="AE91" i="1"/>
  <c r="AF92" i="1" s="1"/>
  <c r="AE92" i="1"/>
  <c r="AF93" i="1" s="1"/>
  <c r="AE93" i="1"/>
  <c r="AF94" i="1" s="1"/>
  <c r="AE94" i="1"/>
  <c r="AE95" i="1"/>
  <c r="AF96" i="1" s="1"/>
  <c r="AE96" i="1"/>
  <c r="AF97" i="1" s="1"/>
  <c r="AE97" i="1"/>
  <c r="AF98" i="1" s="1"/>
  <c r="AE98" i="1"/>
  <c r="AF99" i="1" s="1"/>
  <c r="AE99" i="1"/>
  <c r="AF100" i="1" s="1"/>
  <c r="AE100" i="1"/>
  <c r="AF101" i="1" s="1"/>
  <c r="AE101" i="1"/>
  <c r="AF102" i="1" s="1"/>
  <c r="AE102" i="1"/>
  <c r="AF103" i="1" s="1"/>
  <c r="AE103" i="1"/>
  <c r="AF104" i="1" s="1"/>
  <c r="AE104" i="1"/>
  <c r="AF105" i="1" s="1"/>
  <c r="AE105" i="1"/>
  <c r="AF106" i="1" s="1"/>
  <c r="AE106" i="1"/>
  <c r="AF107" i="1" s="1"/>
  <c r="AE107" i="1"/>
  <c r="AE108" i="1"/>
  <c r="AF109" i="1" s="1"/>
  <c r="AE109" i="1"/>
  <c r="AF110" i="1" s="1"/>
  <c r="AE110" i="1"/>
  <c r="AF111" i="1" s="1"/>
  <c r="AE111" i="1"/>
  <c r="AF112" i="1" s="1"/>
  <c r="AE112" i="1"/>
  <c r="AF113" i="1" s="1"/>
  <c r="AE113" i="1"/>
  <c r="AF114" i="1" s="1"/>
  <c r="AE114" i="1"/>
  <c r="AF115" i="1" s="1"/>
  <c r="AE115" i="1"/>
  <c r="AF116" i="1" s="1"/>
  <c r="AE116" i="1"/>
  <c r="AF117" i="1" s="1"/>
  <c r="AE117" i="1"/>
  <c r="AF118" i="1" s="1"/>
  <c r="AE118" i="1"/>
  <c r="AF119" i="1" s="1"/>
  <c r="AE119" i="1"/>
  <c r="AF120" i="1" s="1"/>
  <c r="AE120" i="1"/>
  <c r="AE121" i="1"/>
  <c r="AF122" i="1" s="1"/>
  <c r="AE122" i="1"/>
  <c r="AF123" i="1" s="1"/>
  <c r="AE123" i="1"/>
  <c r="AF124" i="1" s="1"/>
  <c r="AE124" i="1"/>
  <c r="AF125" i="1" s="1"/>
  <c r="AE125" i="1"/>
  <c r="AF126" i="1" s="1"/>
  <c r="AE126" i="1"/>
  <c r="AF127" i="1" s="1"/>
  <c r="AE127" i="1"/>
  <c r="AF128" i="1" s="1"/>
  <c r="AE128" i="1"/>
  <c r="AF129" i="1" s="1"/>
  <c r="AE129" i="1"/>
  <c r="AF130" i="1" s="1"/>
  <c r="AE130" i="1"/>
  <c r="AF131" i="1" s="1"/>
  <c r="AE131" i="1"/>
  <c r="AF132" i="1" s="1"/>
  <c r="AE132" i="1"/>
  <c r="AF133" i="1" s="1"/>
  <c r="AE133" i="1"/>
  <c r="AF134" i="1" s="1"/>
  <c r="AE134" i="1"/>
  <c r="AF135" i="1" s="1"/>
  <c r="AE135" i="1"/>
  <c r="AF136" i="1" s="1"/>
  <c r="AE136" i="1"/>
  <c r="AF137" i="1" s="1"/>
  <c r="AE137" i="1"/>
  <c r="AE138" i="1"/>
  <c r="AF139" i="1" s="1"/>
  <c r="AE139" i="1"/>
  <c r="AF140" i="1" s="1"/>
  <c r="AE140" i="1"/>
  <c r="AF141" i="1" s="1"/>
  <c r="AE141" i="1"/>
  <c r="AF142" i="1" s="1"/>
  <c r="AE142" i="1"/>
  <c r="AF143" i="1" s="1"/>
  <c r="AE143" i="1"/>
  <c r="AF144" i="1" s="1"/>
  <c r="AE144" i="1"/>
  <c r="AF145" i="1" s="1"/>
  <c r="AE145" i="1"/>
  <c r="AF146" i="1" s="1"/>
  <c r="AE146" i="1"/>
  <c r="AF147" i="1" s="1"/>
  <c r="AE147" i="1"/>
  <c r="AF148" i="1" s="1"/>
  <c r="AE148" i="1"/>
  <c r="AF149" i="1" s="1"/>
  <c r="AE149" i="1"/>
  <c r="AF150" i="1" s="1"/>
  <c r="AE150" i="1"/>
  <c r="AF151" i="1" s="1"/>
  <c r="AE151" i="1"/>
  <c r="AE152" i="1"/>
  <c r="AF153" i="1" s="1"/>
  <c r="AE153" i="1"/>
  <c r="AF154" i="1" s="1"/>
  <c r="AE154" i="1"/>
  <c r="AF155" i="1" s="1"/>
  <c r="AE155" i="1"/>
  <c r="AF156" i="1" s="1"/>
  <c r="AE156" i="1"/>
  <c r="AF157" i="1" s="1"/>
  <c r="AE157" i="1"/>
  <c r="AF158" i="1" s="1"/>
  <c r="AE158" i="1"/>
  <c r="AF159" i="1" s="1"/>
  <c r="AE159" i="1"/>
  <c r="AE160" i="1"/>
  <c r="AF161" i="1" s="1"/>
  <c r="AE161" i="1"/>
  <c r="AF162" i="1" s="1"/>
  <c r="AE162" i="1"/>
  <c r="AF163" i="1" s="1"/>
  <c r="AE163" i="1"/>
  <c r="AF164" i="1" s="1"/>
  <c r="AE164" i="1"/>
  <c r="AF165" i="1" s="1"/>
  <c r="AE165" i="1"/>
  <c r="AF166" i="1" s="1"/>
  <c r="AE166" i="1"/>
  <c r="AF167" i="1" s="1"/>
  <c r="AE167" i="1"/>
  <c r="AF168" i="1" s="1"/>
  <c r="AE168" i="1"/>
  <c r="AF169" i="1" s="1"/>
  <c r="AE169" i="1"/>
  <c r="AF170" i="1" s="1"/>
  <c r="AE170" i="1"/>
  <c r="AF171" i="1" s="1"/>
  <c r="AE171" i="1"/>
  <c r="AF172" i="1" s="1"/>
  <c r="AE172" i="1"/>
  <c r="AF173" i="1" s="1"/>
  <c r="AE173" i="1"/>
  <c r="AF174" i="1" s="1"/>
  <c r="AE174" i="1"/>
  <c r="AF175" i="1" s="1"/>
  <c r="AE175" i="1"/>
  <c r="AE176" i="1"/>
  <c r="AF177" i="1" s="1"/>
  <c r="AE177" i="1"/>
  <c r="AF178" i="1" s="1"/>
  <c r="AE178" i="1"/>
  <c r="AF179" i="1" s="1"/>
  <c r="AE179" i="1"/>
  <c r="AF180" i="1" s="1"/>
  <c r="AE180" i="1"/>
  <c r="AF181" i="1" s="1"/>
  <c r="AE181" i="1"/>
  <c r="AF182" i="1" s="1"/>
  <c r="AE182" i="1"/>
  <c r="AF183" i="1" s="1"/>
  <c r="AE183" i="1"/>
  <c r="AE184" i="1"/>
  <c r="AF185" i="1" s="1"/>
  <c r="AE185" i="1"/>
  <c r="AF186" i="1" s="1"/>
  <c r="AE186" i="1"/>
  <c r="AF187" i="1" s="1"/>
  <c r="AE187" i="1"/>
  <c r="AF188" i="1" s="1"/>
  <c r="AE188" i="1"/>
  <c r="AF189" i="1" s="1"/>
  <c r="AE189" i="1"/>
  <c r="AF190" i="1" s="1"/>
  <c r="AE190" i="1"/>
  <c r="AE191" i="1"/>
  <c r="AF192" i="1" s="1"/>
  <c r="AE192" i="1"/>
  <c r="AF193" i="1" s="1"/>
  <c r="AE193" i="1"/>
  <c r="AF194" i="1" s="1"/>
  <c r="AE194" i="1"/>
  <c r="AF195" i="1" s="1"/>
  <c r="AE195" i="1"/>
  <c r="AF196" i="1" s="1"/>
  <c r="AE196" i="1"/>
  <c r="AF197" i="1" s="1"/>
  <c r="AE197" i="1"/>
  <c r="AF198" i="1" s="1"/>
  <c r="AE198" i="1"/>
  <c r="AF199" i="1" s="1"/>
  <c r="AE199" i="1"/>
  <c r="AF200" i="1" s="1"/>
  <c r="AE200" i="1"/>
  <c r="AF201" i="1" s="1"/>
  <c r="AE201" i="1"/>
  <c r="AF202" i="1" s="1"/>
  <c r="AE202" i="1"/>
  <c r="AF203" i="1" s="1"/>
  <c r="AE203" i="1"/>
  <c r="AF204" i="1" s="1"/>
  <c r="AE204" i="1"/>
  <c r="AF205" i="1" s="1"/>
  <c r="AE205" i="1"/>
  <c r="AF206" i="1" s="1"/>
  <c r="AE206" i="1"/>
  <c r="AE207" i="1"/>
  <c r="AF208" i="1" s="1"/>
  <c r="AE208" i="1"/>
  <c r="AF209" i="1" s="1"/>
  <c r="AE209" i="1"/>
  <c r="AF210" i="1" s="1"/>
  <c r="AE210" i="1"/>
  <c r="AF211" i="1" s="1"/>
  <c r="AE211" i="1"/>
  <c r="AF212" i="1" s="1"/>
  <c r="AE212" i="1"/>
  <c r="AF213" i="1" s="1"/>
  <c r="AE213" i="1"/>
  <c r="AE214" i="1"/>
  <c r="AF215" i="1" s="1"/>
  <c r="AE215" i="1"/>
  <c r="AF216" i="1" s="1"/>
  <c r="AE216" i="1"/>
  <c r="AF217" i="1" s="1"/>
  <c r="AE217" i="1"/>
  <c r="AF218" i="1" s="1"/>
  <c r="AE218" i="1"/>
  <c r="AF219" i="1" s="1"/>
  <c r="AE219" i="1"/>
  <c r="AF220" i="1" s="1"/>
  <c r="AE220" i="1"/>
  <c r="AF221" i="1" s="1"/>
  <c r="AE221" i="1"/>
  <c r="AF222" i="1" s="1"/>
  <c r="AE222" i="1"/>
  <c r="AF223" i="1" s="1"/>
  <c r="AE223" i="1"/>
  <c r="AF224" i="1" s="1"/>
  <c r="AE224" i="1"/>
  <c r="AF225" i="1" s="1"/>
  <c r="AE225" i="1"/>
  <c r="AF226" i="1" s="1"/>
  <c r="AE226" i="1"/>
  <c r="AF227" i="1" s="1"/>
  <c r="AE227" i="1"/>
  <c r="AF228" i="1" s="1"/>
  <c r="AE228" i="1"/>
  <c r="AE229" i="1"/>
  <c r="AF230" i="1" s="1"/>
  <c r="AE230" i="1"/>
  <c r="AF231" i="1" s="1"/>
  <c r="AE231" i="1"/>
  <c r="AF232" i="1" s="1"/>
  <c r="AE232" i="1"/>
  <c r="AF233" i="1" s="1"/>
  <c r="AE233" i="1"/>
  <c r="AF234" i="1" s="1"/>
  <c r="AE234" i="1"/>
  <c r="AF235" i="1" s="1"/>
  <c r="AE235" i="1"/>
  <c r="AF236" i="1" s="1"/>
  <c r="AE236" i="1"/>
  <c r="AF237" i="1" s="1"/>
  <c r="AE237" i="1"/>
  <c r="AE238" i="1"/>
  <c r="AF239" i="1" s="1"/>
  <c r="AE239" i="1"/>
  <c r="AF240" i="1" s="1"/>
  <c r="AE240" i="1"/>
  <c r="AF241" i="1" s="1"/>
  <c r="AE241" i="1"/>
  <c r="AF242" i="1" s="1"/>
  <c r="AE242" i="1"/>
  <c r="AF243" i="1" s="1"/>
  <c r="AE243" i="1"/>
  <c r="AF244" i="1" s="1"/>
  <c r="AE244" i="1"/>
  <c r="AF245" i="1" s="1"/>
  <c r="AE245" i="1"/>
  <c r="AF246" i="1" s="1"/>
  <c r="AE246" i="1"/>
  <c r="AF247" i="1" s="1"/>
  <c r="AE247" i="1"/>
  <c r="AF248" i="1" s="1"/>
  <c r="AE248" i="1"/>
  <c r="AF249" i="1" s="1"/>
  <c r="AE249" i="1"/>
  <c r="AF250" i="1" s="1"/>
  <c r="AE250" i="1"/>
  <c r="AF251" i="1" s="1"/>
  <c r="AE251" i="1"/>
  <c r="AE252" i="1"/>
  <c r="AF253" i="1" s="1"/>
  <c r="AE253" i="1"/>
  <c r="AF254" i="1" s="1"/>
  <c r="AE254" i="1"/>
  <c r="AF255" i="1" s="1"/>
  <c r="AE255" i="1"/>
  <c r="AF256" i="1" s="1"/>
  <c r="AE256" i="1"/>
  <c r="AF257" i="1" s="1"/>
  <c r="AE257" i="1"/>
  <c r="AF258" i="1" s="1"/>
  <c r="AE258" i="1"/>
  <c r="AF259" i="1" s="1"/>
  <c r="AE259" i="1"/>
  <c r="AF260" i="1" s="1"/>
  <c r="AE260" i="1"/>
  <c r="AF261" i="1" s="1"/>
  <c r="AE261" i="1"/>
  <c r="AF262" i="1" s="1"/>
  <c r="AE262" i="1"/>
  <c r="AF263" i="1" s="1"/>
  <c r="AE263" i="1"/>
  <c r="AF264" i="1" s="1"/>
  <c r="AE264" i="1"/>
  <c r="AF265" i="1" s="1"/>
  <c r="AE265" i="1"/>
  <c r="AF266" i="1" s="1"/>
  <c r="AE266" i="1"/>
  <c r="AF267" i="1" s="1"/>
  <c r="AE267" i="1"/>
  <c r="AF268" i="1" s="1"/>
  <c r="AE268" i="1"/>
  <c r="AE269" i="1"/>
  <c r="AF270" i="1" s="1"/>
  <c r="AE270" i="1"/>
  <c r="AF271" i="1" s="1"/>
  <c r="AE271" i="1"/>
  <c r="AF272" i="1" s="1"/>
  <c r="AE272" i="1"/>
  <c r="AF273" i="1" s="1"/>
  <c r="AE273" i="1"/>
  <c r="AF274" i="1" s="1"/>
  <c r="AE274" i="1"/>
  <c r="AF275" i="1" s="1"/>
  <c r="AE275" i="1"/>
  <c r="AF276" i="1" s="1"/>
  <c r="AE276" i="1"/>
  <c r="AF277" i="1" s="1"/>
  <c r="AE277" i="1"/>
  <c r="AF278" i="1" s="1"/>
  <c r="AE278" i="1"/>
  <c r="AF279" i="1" s="1"/>
  <c r="AE279" i="1"/>
  <c r="AF280" i="1" s="1"/>
  <c r="AE280" i="1"/>
  <c r="AF281" i="1" s="1"/>
  <c r="AE281" i="1"/>
  <c r="AF282" i="1" s="1"/>
  <c r="AE282" i="1"/>
  <c r="AE283" i="1"/>
  <c r="AF284" i="1" s="1"/>
  <c r="AE284" i="1"/>
  <c r="AF285" i="1" s="1"/>
  <c r="AE285" i="1"/>
  <c r="AF286" i="1" s="1"/>
  <c r="AE286" i="1"/>
  <c r="AF287" i="1" s="1"/>
  <c r="AE287" i="1"/>
  <c r="AF288" i="1" s="1"/>
  <c r="AE288" i="1"/>
  <c r="AF289" i="1" s="1"/>
  <c r="AE289" i="1"/>
  <c r="AE290" i="1"/>
  <c r="AF291" i="1" s="1"/>
  <c r="AE291" i="1"/>
  <c r="AF292" i="1" s="1"/>
  <c r="AE292" i="1"/>
  <c r="AF293" i="1" s="1"/>
  <c r="AE293" i="1"/>
  <c r="AF294" i="1" s="1"/>
  <c r="AE294" i="1"/>
  <c r="AF295" i="1" s="1"/>
  <c r="AE295" i="1"/>
  <c r="AF296" i="1" s="1"/>
  <c r="AE296" i="1"/>
  <c r="AF297" i="1" s="1"/>
  <c r="AE297" i="1"/>
  <c r="AF298" i="1" s="1"/>
  <c r="AE298" i="1"/>
  <c r="AF299" i="1" s="1"/>
  <c r="AE299" i="1"/>
  <c r="AF300" i="1" s="1"/>
  <c r="AE300" i="1"/>
  <c r="AF301" i="1" s="1"/>
  <c r="AE301" i="1"/>
  <c r="AF302" i="1" s="1"/>
  <c r="AE302" i="1"/>
  <c r="AE303" i="1"/>
  <c r="AF304" i="1" s="1"/>
  <c r="AE304" i="1"/>
  <c r="AF305" i="1" s="1"/>
  <c r="AE305" i="1"/>
  <c r="AF306" i="1" s="1"/>
  <c r="AE306" i="1"/>
  <c r="AF307" i="1" s="1"/>
  <c r="AE307" i="1"/>
  <c r="AF308" i="1" s="1"/>
  <c r="AE308" i="1"/>
  <c r="AF309" i="1" s="1"/>
  <c r="AE309" i="1"/>
  <c r="AF310" i="1" s="1"/>
  <c r="AE310" i="1"/>
  <c r="AF311" i="1" s="1"/>
  <c r="AE311" i="1"/>
  <c r="AF312" i="1" s="1"/>
  <c r="AE312" i="1"/>
  <c r="AF313" i="1" s="1"/>
  <c r="AE313" i="1"/>
  <c r="AF314" i="1" s="1"/>
  <c r="AE314" i="1"/>
  <c r="AF315" i="1" s="1"/>
  <c r="AE315" i="1"/>
  <c r="AE316" i="1"/>
  <c r="AF317" i="1" s="1"/>
  <c r="AE317" i="1"/>
  <c r="AF318" i="1" s="1"/>
  <c r="AE318" i="1"/>
  <c r="AF319" i="1" s="1"/>
  <c r="AE319" i="1"/>
  <c r="AF320" i="1" s="1"/>
  <c r="AE320" i="1"/>
  <c r="AF321" i="1" s="1"/>
  <c r="AE321" i="1"/>
  <c r="AF322" i="1" s="1"/>
  <c r="AE322" i="1"/>
  <c r="AF323" i="1" s="1"/>
  <c r="AE323" i="1"/>
  <c r="AF324" i="1" s="1"/>
  <c r="AE324" i="1"/>
  <c r="AF325" i="1" s="1"/>
  <c r="AE325" i="1"/>
  <c r="AF326" i="1" s="1"/>
  <c r="AE326" i="1"/>
  <c r="AF327" i="1" s="1"/>
  <c r="AE327" i="1"/>
  <c r="AF328" i="1" s="1"/>
  <c r="AE328" i="1"/>
  <c r="AF329" i="1" s="1"/>
  <c r="AE329" i="1"/>
  <c r="AF330" i="1" s="1"/>
  <c r="AE330" i="1"/>
  <c r="AE331" i="1"/>
  <c r="AF332" i="1" s="1"/>
  <c r="AE332" i="1"/>
  <c r="AF333" i="1" s="1"/>
  <c r="AE333" i="1"/>
  <c r="AF334" i="1" s="1"/>
  <c r="AE334" i="1"/>
  <c r="AF335" i="1" s="1"/>
  <c r="AE335" i="1"/>
  <c r="AF336" i="1" s="1"/>
  <c r="AE336" i="1"/>
  <c r="AF337" i="1" s="1"/>
  <c r="AE337" i="1"/>
  <c r="AF338" i="1" s="1"/>
  <c r="AE338" i="1"/>
  <c r="AF339" i="1" s="1"/>
  <c r="AE339" i="1"/>
  <c r="AF340" i="1" s="1"/>
  <c r="AE340" i="1"/>
  <c r="AE341" i="1"/>
  <c r="AF342" i="1" s="1"/>
  <c r="AE342" i="1"/>
  <c r="AF343" i="1" s="1"/>
  <c r="AE343" i="1"/>
  <c r="AF344" i="1" s="1"/>
  <c r="AE344" i="1"/>
  <c r="AF345" i="1" s="1"/>
  <c r="AE345" i="1"/>
  <c r="AF346" i="1" s="1"/>
  <c r="AE346" i="1"/>
  <c r="AF347" i="1" s="1"/>
  <c r="AE347" i="1"/>
  <c r="AF348" i="1" s="1"/>
  <c r="AE348" i="1"/>
  <c r="AF349" i="1" s="1"/>
  <c r="AE349" i="1"/>
  <c r="AF350" i="1" s="1"/>
  <c r="AE350" i="1"/>
  <c r="AF351" i="1" s="1"/>
  <c r="AE351" i="1"/>
  <c r="AF352" i="1" s="1"/>
  <c r="AE352" i="1"/>
  <c r="AF353" i="1" s="1"/>
  <c r="AE353" i="1"/>
  <c r="AF354" i="1" s="1"/>
  <c r="AE354" i="1"/>
  <c r="AF355" i="1" s="1"/>
  <c r="AE355" i="1"/>
  <c r="AF356" i="1" s="1"/>
  <c r="AE356" i="1"/>
  <c r="AF357" i="1" s="1"/>
  <c r="AE357" i="1"/>
  <c r="AF358" i="1" s="1"/>
  <c r="AE358" i="1"/>
  <c r="AF359" i="1" s="1"/>
  <c r="AE359" i="1"/>
  <c r="AF360" i="1" s="1"/>
  <c r="AE360" i="1"/>
  <c r="AE361" i="1"/>
  <c r="AF362" i="1" s="1"/>
  <c r="AE362" i="1"/>
  <c r="AF363" i="1" s="1"/>
  <c r="AE363" i="1"/>
  <c r="AF364" i="1" s="1"/>
  <c r="AE364" i="1"/>
  <c r="AF365" i="1" s="1"/>
  <c r="AE365" i="1"/>
  <c r="AF366" i="1" s="1"/>
  <c r="AE366" i="1"/>
  <c r="AF367" i="1" s="1"/>
  <c r="AE367" i="1"/>
  <c r="AF368" i="1" s="1"/>
  <c r="AE368" i="1"/>
  <c r="AF369" i="1" s="1"/>
  <c r="AE369" i="1"/>
  <c r="AF370" i="1" s="1"/>
  <c r="AE370" i="1"/>
  <c r="AE371" i="1"/>
  <c r="AF372" i="1" s="1"/>
  <c r="AE372" i="1"/>
  <c r="AF373" i="1" s="1"/>
  <c r="AE373" i="1"/>
  <c r="AF374" i="1" s="1"/>
  <c r="AE374" i="1"/>
  <c r="AF375" i="1" s="1"/>
  <c r="AE375" i="1"/>
  <c r="AF376" i="1" s="1"/>
  <c r="AE376" i="1"/>
  <c r="AF377" i="1" s="1"/>
  <c r="AE377" i="1"/>
  <c r="AF378" i="1" s="1"/>
  <c r="AE378" i="1"/>
  <c r="AF379" i="1" s="1"/>
  <c r="AE379" i="1"/>
  <c r="AF380" i="1" s="1"/>
  <c r="AE380" i="1"/>
  <c r="AE381" i="1"/>
  <c r="AF382" i="1" s="1"/>
  <c r="AE382" i="1"/>
  <c r="AF383" i="1" s="1"/>
  <c r="AE383" i="1"/>
  <c r="AF384" i="1" s="1"/>
  <c r="AE384" i="1"/>
  <c r="AF385" i="1" s="1"/>
  <c r="AE385" i="1"/>
  <c r="AF386" i="1" s="1"/>
  <c r="AE386" i="1"/>
  <c r="AF387" i="1" s="1"/>
  <c r="AE387" i="1"/>
  <c r="AF388" i="1" s="1"/>
  <c r="AE388" i="1"/>
  <c r="AF389" i="1" s="1"/>
  <c r="AE389" i="1"/>
  <c r="AF390" i="1" s="1"/>
  <c r="AE390" i="1"/>
  <c r="AE391" i="1"/>
  <c r="AF392" i="1" s="1"/>
  <c r="AE392" i="1"/>
  <c r="AF393" i="1" s="1"/>
  <c r="AE393" i="1"/>
  <c r="AF394" i="1" s="1"/>
  <c r="AE394" i="1"/>
  <c r="AF395" i="1" s="1"/>
  <c r="AE395" i="1"/>
  <c r="AF396" i="1" s="1"/>
  <c r="AE396" i="1"/>
  <c r="AF397" i="1" s="1"/>
  <c r="AE397" i="1"/>
  <c r="AF398" i="1" s="1"/>
  <c r="AE398" i="1"/>
  <c r="AF399" i="1" s="1"/>
  <c r="AE399" i="1"/>
  <c r="AF400" i="1" s="1"/>
  <c r="AE400" i="1"/>
  <c r="AF401" i="1" s="1"/>
  <c r="AE401" i="1"/>
  <c r="AF402" i="1" s="1"/>
  <c r="AE402" i="1"/>
  <c r="AF403" i="1" s="1"/>
  <c r="AE403" i="1"/>
  <c r="AF404" i="1" s="1"/>
  <c r="AE404" i="1"/>
  <c r="AF405" i="1" s="1"/>
  <c r="AE405" i="1"/>
  <c r="AF406" i="1" s="1"/>
  <c r="AE406" i="1"/>
  <c r="AF407" i="1" s="1"/>
  <c r="AE407" i="1"/>
  <c r="AF408" i="1" s="1"/>
  <c r="AE408" i="1"/>
  <c r="AF409" i="1" s="1"/>
  <c r="AE409" i="1"/>
  <c r="AF410" i="1" s="1"/>
  <c r="AE410" i="1"/>
  <c r="AE411" i="1"/>
  <c r="AF412" i="1" s="1"/>
  <c r="AE412" i="1"/>
  <c r="AF413" i="1" s="1"/>
  <c r="AE413" i="1"/>
  <c r="AF414" i="1" s="1"/>
  <c r="AE414" i="1"/>
  <c r="AF415" i="1" s="1"/>
  <c r="AE415" i="1"/>
  <c r="AF416" i="1" s="1"/>
  <c r="AE416" i="1"/>
  <c r="AF417" i="1" s="1"/>
  <c r="AE417" i="1"/>
  <c r="AF418" i="1" s="1"/>
  <c r="AE418" i="1"/>
  <c r="AF419" i="1" s="1"/>
  <c r="AE419" i="1"/>
  <c r="AF420" i="1" s="1"/>
  <c r="AE420" i="1"/>
  <c r="AF421" i="1" s="1"/>
  <c r="AE421" i="1"/>
  <c r="AE422" i="1"/>
  <c r="AF423" i="1" s="1"/>
  <c r="AE423" i="1"/>
  <c r="AF424" i="1" s="1"/>
  <c r="AE424" i="1"/>
  <c r="AF425" i="1" s="1"/>
  <c r="AE425" i="1"/>
  <c r="AF426" i="1" s="1"/>
  <c r="AE426" i="1"/>
  <c r="AF427" i="1" s="1"/>
  <c r="AE427" i="1"/>
  <c r="AF428" i="1" s="1"/>
  <c r="AE428" i="1"/>
  <c r="AF429" i="1" s="1"/>
  <c r="AE429" i="1"/>
  <c r="AF430" i="1" s="1"/>
  <c r="AE430" i="1"/>
  <c r="AF431" i="1" s="1"/>
  <c r="AE431" i="1"/>
  <c r="AF432" i="1" s="1"/>
  <c r="AE432" i="1"/>
  <c r="AF433" i="1" s="1"/>
  <c r="AE433" i="1"/>
  <c r="AF434" i="1" s="1"/>
  <c r="AE434" i="1"/>
  <c r="AF435" i="1" s="1"/>
  <c r="AE435" i="1"/>
  <c r="AF436" i="1" s="1"/>
  <c r="AE436" i="1"/>
  <c r="AF437" i="1" s="1"/>
  <c r="AE437" i="1"/>
  <c r="AF438" i="1" s="1"/>
  <c r="AE438" i="1"/>
  <c r="AF439" i="1" s="1"/>
  <c r="AE439" i="1"/>
  <c r="AE440" i="1"/>
  <c r="AF441" i="1" s="1"/>
  <c r="AE441" i="1"/>
  <c r="AF442" i="1" s="1"/>
  <c r="AE442" i="1"/>
  <c r="AF443" i="1" s="1"/>
  <c r="AE443" i="1"/>
  <c r="AF444" i="1" s="1"/>
  <c r="AE444" i="1"/>
  <c r="AF445" i="1" s="1"/>
  <c r="AE445" i="1"/>
  <c r="AF446" i="1" s="1"/>
  <c r="AE446" i="1"/>
  <c r="AF447" i="1" s="1"/>
  <c r="AE447" i="1"/>
  <c r="AF448" i="1" s="1"/>
  <c r="AE448" i="1"/>
  <c r="AF449" i="1" s="1"/>
  <c r="AE449" i="1"/>
  <c r="AF450" i="1" s="1"/>
  <c r="AE450" i="1"/>
  <c r="AF451" i="1" s="1"/>
  <c r="AE451" i="1"/>
  <c r="AF452" i="1" s="1"/>
  <c r="AE452" i="1"/>
  <c r="AF453" i="1" s="1"/>
  <c r="AE453" i="1"/>
  <c r="AF454" i="1" s="1"/>
  <c r="AE454" i="1"/>
  <c r="AF455" i="1" s="1"/>
  <c r="AE455" i="1"/>
  <c r="AF456" i="1" s="1"/>
  <c r="AE456" i="1"/>
  <c r="AF457" i="1" s="1"/>
  <c r="AE457" i="1"/>
  <c r="AF458" i="1" s="1"/>
  <c r="AE458" i="1"/>
  <c r="AE459" i="1"/>
  <c r="AF460" i="1" s="1"/>
  <c r="AE460" i="1"/>
  <c r="AF461" i="1" s="1"/>
  <c r="AE461" i="1"/>
  <c r="AF462" i="1" s="1"/>
  <c r="AE462" i="1"/>
  <c r="AF463" i="1" s="1"/>
  <c r="AE463" i="1"/>
  <c r="AF464" i="1" s="1"/>
  <c r="AE464" i="1"/>
  <c r="AF465" i="1" s="1"/>
  <c r="AE465" i="1"/>
  <c r="AF466" i="1" s="1"/>
  <c r="AE466" i="1"/>
  <c r="AF467" i="1" s="1"/>
  <c r="AE467" i="1"/>
  <c r="AF468" i="1" s="1"/>
  <c r="AE468" i="1"/>
  <c r="AF469" i="1" s="1"/>
  <c r="AE469" i="1"/>
  <c r="AF470" i="1" s="1"/>
  <c r="AE470" i="1"/>
  <c r="AE471" i="1"/>
  <c r="AF472" i="1" s="1"/>
  <c r="AE472" i="1"/>
  <c r="AF473" i="1" s="1"/>
  <c r="AE473" i="1"/>
  <c r="AF474" i="1" s="1"/>
  <c r="AE474" i="1"/>
  <c r="AF475" i="1" s="1"/>
  <c r="AE475" i="1"/>
  <c r="AF476" i="1" s="1"/>
  <c r="AE476" i="1"/>
  <c r="AF477" i="1" s="1"/>
  <c r="AE477" i="1"/>
  <c r="AF478" i="1" s="1"/>
  <c r="AE478" i="1"/>
  <c r="AF479" i="1" s="1"/>
  <c r="AE479" i="1"/>
  <c r="AF480" i="1" s="1"/>
  <c r="AE480" i="1"/>
  <c r="AE481" i="1"/>
  <c r="AF482" i="1" s="1"/>
  <c r="AE482" i="1"/>
  <c r="AF483" i="1" s="1"/>
  <c r="AE483" i="1"/>
  <c r="AF484" i="1" s="1"/>
  <c r="AE484" i="1"/>
  <c r="AF485" i="1" s="1"/>
  <c r="AE485" i="1"/>
  <c r="AF486" i="1" s="1"/>
  <c r="AE486" i="1"/>
  <c r="AF487" i="1" s="1"/>
  <c r="AE487" i="1"/>
  <c r="AF488" i="1" s="1"/>
  <c r="AE488" i="1"/>
  <c r="AF489" i="1" s="1"/>
  <c r="AE489" i="1"/>
  <c r="AF490" i="1" s="1"/>
  <c r="AE490" i="1"/>
  <c r="AF491" i="1" s="1"/>
  <c r="AE491" i="1"/>
  <c r="AF492" i="1" s="1"/>
  <c r="AE492" i="1"/>
  <c r="AF493" i="1" s="1"/>
  <c r="AE493" i="1"/>
  <c r="AF494" i="1" s="1"/>
  <c r="AE494" i="1"/>
  <c r="AF495" i="1" s="1"/>
  <c r="AE495" i="1"/>
  <c r="AE496" i="1"/>
  <c r="AF497" i="1" s="1"/>
  <c r="AE497" i="1"/>
  <c r="AF498" i="1" s="1"/>
  <c r="AE498" i="1"/>
  <c r="AF499" i="1" s="1"/>
  <c r="AE499" i="1"/>
  <c r="AF500" i="1" s="1"/>
  <c r="AE500" i="1"/>
  <c r="AF501" i="1" s="1"/>
  <c r="AE501" i="1"/>
  <c r="AF502" i="1" s="1"/>
  <c r="AE502" i="1"/>
  <c r="AF503" i="1" s="1"/>
  <c r="AE503" i="1"/>
  <c r="AF504" i="1" s="1"/>
  <c r="AE504" i="1"/>
  <c r="AF505" i="1" s="1"/>
  <c r="AE505" i="1"/>
  <c r="AF506" i="1" s="1"/>
  <c r="AE506" i="1"/>
  <c r="AF507" i="1" s="1"/>
  <c r="AE507" i="1"/>
  <c r="AF508" i="1" s="1"/>
  <c r="AE508" i="1"/>
  <c r="AE509" i="1"/>
  <c r="AF510" i="1" s="1"/>
  <c r="AE510" i="1"/>
  <c r="AF511" i="1" s="1"/>
  <c r="AE511" i="1"/>
  <c r="AF512" i="1" s="1"/>
  <c r="AE512" i="1"/>
  <c r="AF513" i="1" s="1"/>
  <c r="AE513" i="1"/>
  <c r="AF514" i="1" s="1"/>
  <c r="AE514" i="1"/>
  <c r="AF515" i="1" s="1"/>
  <c r="AE515" i="1"/>
  <c r="AF516" i="1" s="1"/>
  <c r="AE516" i="1"/>
  <c r="AF517" i="1" s="1"/>
  <c r="AE517" i="1"/>
  <c r="AF518" i="1" s="1"/>
  <c r="AE518" i="1"/>
  <c r="AF519" i="1" s="1"/>
  <c r="AE519" i="1"/>
  <c r="AF520" i="1" s="1"/>
  <c r="AE520" i="1"/>
  <c r="AF521" i="1" s="1"/>
  <c r="AE521" i="1"/>
  <c r="AF522" i="1" s="1"/>
  <c r="AE522" i="1"/>
  <c r="AF523" i="1" s="1"/>
  <c r="AE523" i="1"/>
  <c r="AF524" i="1" s="1"/>
  <c r="AE524" i="1"/>
  <c r="AF525" i="1" s="1"/>
  <c r="AE525" i="1"/>
  <c r="AE526" i="1"/>
  <c r="AF527" i="1" s="1"/>
  <c r="AE527" i="1"/>
  <c r="AF528" i="1" s="1"/>
  <c r="AE528" i="1"/>
  <c r="AF529" i="1" s="1"/>
  <c r="AE529" i="1"/>
  <c r="AF530" i="1" s="1"/>
  <c r="AE530" i="1"/>
  <c r="AF531" i="1" s="1"/>
  <c r="AE531" i="1"/>
  <c r="AF532" i="1" s="1"/>
  <c r="AE532" i="1"/>
  <c r="AF533" i="1" s="1"/>
  <c r="AE533" i="1"/>
  <c r="AF534" i="1" s="1"/>
  <c r="AE534" i="1"/>
  <c r="AF535" i="1" s="1"/>
  <c r="AE535" i="1"/>
  <c r="AF536" i="1" s="1"/>
  <c r="AE536" i="1"/>
  <c r="AF537" i="1" s="1"/>
  <c r="AE537" i="1"/>
  <c r="AF538" i="1" s="1"/>
  <c r="AE538" i="1"/>
  <c r="AE539" i="1"/>
  <c r="AF540" i="1" s="1"/>
  <c r="AE540" i="1"/>
  <c r="AF541" i="1" s="1"/>
  <c r="AE541" i="1"/>
  <c r="AF542" i="1" s="1"/>
  <c r="AE542" i="1"/>
  <c r="AF543" i="1" s="1"/>
  <c r="AE543" i="1"/>
  <c r="AF544" i="1" s="1"/>
  <c r="AE544" i="1"/>
  <c r="AF545" i="1" s="1"/>
  <c r="AE545" i="1"/>
  <c r="AF546" i="1" s="1"/>
  <c r="AE546" i="1"/>
  <c r="AF547" i="1" s="1"/>
  <c r="AE547" i="1"/>
  <c r="AF548" i="1" s="1"/>
  <c r="AE548" i="1"/>
  <c r="AF549" i="1" s="1"/>
  <c r="AE549" i="1"/>
  <c r="AF550" i="1" s="1"/>
  <c r="AE550" i="1"/>
  <c r="AF551" i="1" s="1"/>
  <c r="AE551" i="1"/>
  <c r="AE552" i="1"/>
  <c r="AF553" i="1" s="1"/>
  <c r="AE553" i="1"/>
  <c r="AF554" i="1" s="1"/>
  <c r="AE554" i="1"/>
  <c r="AF555" i="1" s="1"/>
  <c r="AE555" i="1"/>
  <c r="AF556" i="1" s="1"/>
  <c r="AE556" i="1"/>
  <c r="AF557" i="1" s="1"/>
  <c r="AE557" i="1"/>
  <c r="AF558" i="1" s="1"/>
  <c r="AE558" i="1"/>
  <c r="AF559" i="1" s="1"/>
  <c r="AE559" i="1"/>
  <c r="AF560" i="1" s="1"/>
  <c r="AE560" i="1"/>
  <c r="AF561" i="1" s="1"/>
  <c r="AE561" i="1"/>
  <c r="AF562" i="1" s="1"/>
  <c r="AE562" i="1"/>
  <c r="AF563" i="1" s="1"/>
  <c r="AE563" i="1"/>
  <c r="AF564" i="1" s="1"/>
  <c r="AE564" i="1"/>
  <c r="AF565" i="1" s="1"/>
  <c r="AE565" i="1"/>
  <c r="AF566" i="1" s="1"/>
  <c r="AE566" i="1"/>
  <c r="AF567" i="1" s="1"/>
  <c r="AE567" i="1"/>
  <c r="AF568" i="1" s="1"/>
  <c r="AE568" i="1"/>
  <c r="AF569" i="1" s="1"/>
  <c r="AE569" i="1"/>
  <c r="AE570" i="1"/>
  <c r="AF571" i="1" s="1"/>
  <c r="AE571" i="1"/>
  <c r="AF572" i="1" s="1"/>
  <c r="AE572" i="1"/>
  <c r="AF573" i="1" s="1"/>
  <c r="AE573" i="1"/>
  <c r="AF574" i="1" s="1"/>
  <c r="AE574" i="1"/>
  <c r="AF575" i="1" s="1"/>
  <c r="AE575" i="1"/>
  <c r="AF576" i="1" s="1"/>
  <c r="AE576" i="1"/>
  <c r="AF577" i="1" s="1"/>
  <c r="AE577" i="1"/>
  <c r="AF578" i="1" s="1"/>
  <c r="AE578" i="1"/>
  <c r="AF579" i="1" s="1"/>
  <c r="AE579" i="1"/>
  <c r="AF580" i="1" s="1"/>
  <c r="AE580" i="1"/>
  <c r="AF581" i="1" s="1"/>
  <c r="AE581" i="1"/>
  <c r="AF582" i="1" s="1"/>
  <c r="AE582" i="1"/>
  <c r="AF583" i="1" s="1"/>
  <c r="AE583" i="1"/>
  <c r="AF584" i="1" s="1"/>
  <c r="AE584" i="1"/>
  <c r="AE585" i="1"/>
  <c r="AF586" i="1" s="1"/>
  <c r="AE586" i="1"/>
  <c r="AF587" i="1" s="1"/>
  <c r="AE587" i="1"/>
  <c r="AF588" i="1" s="1"/>
  <c r="AE588" i="1"/>
  <c r="AF589" i="1" s="1"/>
  <c r="AE589" i="1"/>
  <c r="AF590" i="1" s="1"/>
  <c r="AE590" i="1"/>
  <c r="AF591" i="1" s="1"/>
  <c r="AE591" i="1"/>
  <c r="AF592" i="1" s="1"/>
  <c r="AE592" i="1"/>
  <c r="AF593" i="1" s="1"/>
  <c r="AE593" i="1"/>
  <c r="AF594" i="1" s="1"/>
  <c r="AE594" i="1"/>
  <c r="AF595" i="1" s="1"/>
  <c r="AE595" i="1"/>
  <c r="AF596" i="1" s="1"/>
  <c r="AE596" i="1"/>
  <c r="AF597" i="1" s="1"/>
  <c r="AE597" i="1"/>
  <c r="AF598" i="1" s="1"/>
  <c r="AE598" i="1"/>
  <c r="AF599" i="1" s="1"/>
  <c r="AE599" i="1"/>
  <c r="AF600" i="1" s="1"/>
  <c r="AE600" i="1"/>
  <c r="AF601" i="1" s="1"/>
  <c r="AE601" i="1"/>
  <c r="AF602" i="1" s="1"/>
  <c r="AE602" i="1"/>
  <c r="AE603" i="1"/>
  <c r="AF604" i="1" s="1"/>
  <c r="AE604" i="1"/>
  <c r="AF605" i="1" s="1"/>
  <c r="AE605" i="1"/>
  <c r="AF606" i="1" s="1"/>
  <c r="AE606" i="1"/>
  <c r="AF607" i="1" s="1"/>
  <c r="AE607" i="1"/>
  <c r="AF608" i="1" s="1"/>
  <c r="AE608" i="1"/>
  <c r="AF609" i="1" s="1"/>
  <c r="AE609" i="1"/>
  <c r="AF610" i="1" s="1"/>
  <c r="AE610" i="1"/>
  <c r="AF611" i="1" s="1"/>
  <c r="AE611" i="1"/>
  <c r="AF612" i="1" s="1"/>
  <c r="AE612" i="1"/>
  <c r="AF613" i="1" s="1"/>
  <c r="AE613" i="1"/>
  <c r="AF614" i="1" s="1"/>
  <c r="AE614" i="1"/>
  <c r="AE615" i="1"/>
  <c r="AF616" i="1" s="1"/>
  <c r="AE616" i="1"/>
  <c r="AF617" i="1" s="1"/>
  <c r="AE617" i="1"/>
  <c r="AF618" i="1" s="1"/>
  <c r="AE618" i="1"/>
  <c r="AF619" i="1" s="1"/>
  <c r="AE619" i="1"/>
  <c r="AF620" i="1" s="1"/>
  <c r="AE620" i="1"/>
  <c r="AF621" i="1" s="1"/>
  <c r="AE621" i="1"/>
  <c r="AF622" i="1" s="1"/>
  <c r="AE622" i="1"/>
  <c r="AF623" i="1" s="1"/>
  <c r="AE623" i="1"/>
  <c r="AF624" i="1" s="1"/>
  <c r="AE624" i="1"/>
  <c r="AE625" i="1"/>
  <c r="AF626" i="1" s="1"/>
  <c r="AE626" i="1"/>
  <c r="AF627" i="1" s="1"/>
  <c r="AE627" i="1"/>
  <c r="AF628" i="1" s="1"/>
  <c r="AE628" i="1"/>
  <c r="AF629" i="1" s="1"/>
  <c r="AE629" i="1"/>
  <c r="AF630" i="1" s="1"/>
  <c r="AE630" i="1"/>
  <c r="AF631" i="1" s="1"/>
  <c r="AE631" i="1"/>
  <c r="AF632" i="1" s="1"/>
  <c r="AE632" i="1"/>
  <c r="AF633" i="1" s="1"/>
  <c r="AE633" i="1"/>
  <c r="AF634" i="1" s="1"/>
  <c r="AE634" i="1"/>
  <c r="AF635" i="1" s="1"/>
  <c r="AE635" i="1"/>
  <c r="AE636" i="1"/>
  <c r="AF637" i="1" s="1"/>
  <c r="AE637" i="1"/>
  <c r="AF638" i="1" s="1"/>
  <c r="AE638" i="1"/>
  <c r="AF639" i="1" s="1"/>
  <c r="AE639" i="1"/>
  <c r="AF640" i="1" s="1"/>
  <c r="AE640" i="1"/>
  <c r="AF641" i="1" s="1"/>
  <c r="AE641" i="1"/>
  <c r="AF642" i="1" s="1"/>
  <c r="AE642" i="1"/>
  <c r="AF643" i="1" s="1"/>
  <c r="AE643" i="1"/>
  <c r="AF644" i="1" s="1"/>
  <c r="AE644" i="1"/>
  <c r="AF645" i="1" s="1"/>
  <c r="AE645" i="1"/>
  <c r="AF646" i="1" s="1"/>
  <c r="AE646" i="1"/>
  <c r="AF647" i="1" s="1"/>
  <c r="AE647" i="1"/>
  <c r="AF648" i="1" s="1"/>
  <c r="AE648" i="1"/>
  <c r="AF649" i="1" s="1"/>
  <c r="AE649" i="1"/>
  <c r="AF650" i="1" s="1"/>
  <c r="AE650" i="1"/>
  <c r="AF651" i="1" s="1"/>
  <c r="AE651" i="1"/>
  <c r="AF652" i="1" s="1"/>
  <c r="AE652" i="1"/>
  <c r="AE653" i="1"/>
  <c r="AF654" i="1" s="1"/>
  <c r="AE654" i="1"/>
  <c r="AF655" i="1" s="1"/>
  <c r="AE655" i="1"/>
  <c r="AF656" i="1" s="1"/>
  <c r="AE656" i="1"/>
  <c r="AF657" i="1" s="1"/>
  <c r="AE657" i="1"/>
  <c r="AF658" i="1" s="1"/>
  <c r="AE658" i="1"/>
  <c r="AF659" i="1" s="1"/>
  <c r="AE659" i="1"/>
  <c r="AF660" i="1" s="1"/>
  <c r="AE660" i="1"/>
  <c r="AF661" i="1" s="1"/>
  <c r="AE661" i="1"/>
  <c r="AF662" i="1" s="1"/>
  <c r="AE662" i="1"/>
  <c r="AE663" i="1"/>
  <c r="AF664" i="1" s="1"/>
  <c r="AE664" i="1"/>
  <c r="AF665" i="1" s="1"/>
  <c r="AE665" i="1"/>
  <c r="AF666" i="1" s="1"/>
  <c r="AE666" i="1"/>
  <c r="AF667" i="1" s="1"/>
  <c r="AE667" i="1"/>
  <c r="AF668" i="1" s="1"/>
  <c r="AE668" i="1"/>
  <c r="AF669" i="1" s="1"/>
  <c r="AE669" i="1"/>
  <c r="AF670" i="1" s="1"/>
  <c r="AE670" i="1"/>
  <c r="AF671" i="1" s="1"/>
  <c r="AE671" i="1"/>
  <c r="AF672" i="1" s="1"/>
  <c r="AE672" i="1"/>
  <c r="AE673" i="1"/>
  <c r="AF674" i="1" s="1"/>
  <c r="AE674" i="1"/>
  <c r="AF675" i="1" s="1"/>
  <c r="AE675" i="1"/>
  <c r="AF676" i="1" s="1"/>
  <c r="AE676" i="1"/>
  <c r="AF677" i="1" s="1"/>
  <c r="AE677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64F6A5F-12A4-4725-82D7-B3EA8DE35D83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<sst xmlns="http://schemas.openxmlformats.org/spreadsheetml/2006/main" count="1555" uniqueCount="106">
  <si>
    <t>product_id</t>
  </si>
  <si>
    <t>product_category_name</t>
  </si>
  <si>
    <t>month_year</t>
  </si>
  <si>
    <t>qty</t>
  </si>
  <si>
    <t>total_price</t>
  </si>
  <si>
    <t>freight_price</t>
  </si>
  <si>
    <t>unit_price</t>
  </si>
  <si>
    <t>product_name_lenght</t>
  </si>
  <si>
    <t>product_description_lenght</t>
  </si>
  <si>
    <t>product_photos_qty</t>
  </si>
  <si>
    <t>product_weight_g</t>
  </si>
  <si>
    <t>product_score</t>
  </si>
  <si>
    <t>customers</t>
  </si>
  <si>
    <t>weekday</t>
  </si>
  <si>
    <t>weekend</t>
  </si>
  <si>
    <t>holiday</t>
  </si>
  <si>
    <t>month</t>
  </si>
  <si>
    <t>year</t>
  </si>
  <si>
    <t>s</t>
  </si>
  <si>
    <t>volume</t>
  </si>
  <si>
    <t>comp_1</t>
  </si>
  <si>
    <t>ps1</t>
  </si>
  <si>
    <t>fp1</t>
  </si>
  <si>
    <t>comp_2</t>
  </si>
  <si>
    <t>ps2</t>
  </si>
  <si>
    <t>fp2</t>
  </si>
  <si>
    <t>comp_3</t>
  </si>
  <si>
    <t>ps3</t>
  </si>
  <si>
    <t>fp3</t>
  </si>
  <si>
    <t>lag_price</t>
  </si>
  <si>
    <t>bed1</t>
  </si>
  <si>
    <t>bed_bath_table</t>
  </si>
  <si>
    <t>garden5</t>
  </si>
  <si>
    <t>garden_tools</t>
  </si>
  <si>
    <t>consoles1</t>
  </si>
  <si>
    <t>consoles_games</t>
  </si>
  <si>
    <t>garden7</t>
  </si>
  <si>
    <t>health9</t>
  </si>
  <si>
    <t>health_beauty</t>
  </si>
  <si>
    <t>cool4</t>
  </si>
  <si>
    <t>cool_stuff</t>
  </si>
  <si>
    <t>health3</t>
  </si>
  <si>
    <t>perfumery1</t>
  </si>
  <si>
    <t>perfumery</t>
  </si>
  <si>
    <t>cool5</t>
  </si>
  <si>
    <t>health8</t>
  </si>
  <si>
    <t>garden4</t>
  </si>
  <si>
    <t>computers5</t>
  </si>
  <si>
    <t>computers_accessories</t>
  </si>
  <si>
    <t>garden10</t>
  </si>
  <si>
    <t>computers6</t>
  </si>
  <si>
    <t>health6</t>
  </si>
  <si>
    <t>garden6</t>
  </si>
  <si>
    <t>health10</t>
  </si>
  <si>
    <t>watches2</t>
  </si>
  <si>
    <t>watches_gifts</t>
  </si>
  <si>
    <t>health1</t>
  </si>
  <si>
    <t>garden8</t>
  </si>
  <si>
    <t>garden9</t>
  </si>
  <si>
    <t>watches6</t>
  </si>
  <si>
    <t>cool3</t>
  </si>
  <si>
    <t>perfumery2</t>
  </si>
  <si>
    <t>cool2</t>
  </si>
  <si>
    <t>computers1</t>
  </si>
  <si>
    <t>consoles2</t>
  </si>
  <si>
    <t>health5</t>
  </si>
  <si>
    <t>watches8</t>
  </si>
  <si>
    <t>furniture4</t>
  </si>
  <si>
    <t>furniture_decor</t>
  </si>
  <si>
    <t>watches5</t>
  </si>
  <si>
    <t>health7</t>
  </si>
  <si>
    <t>bed3</t>
  </si>
  <si>
    <t>garden3</t>
  </si>
  <si>
    <t>bed2</t>
  </si>
  <si>
    <t>furniture3</t>
  </si>
  <si>
    <t>watches4</t>
  </si>
  <si>
    <t>watches3</t>
  </si>
  <si>
    <t>furniture2</t>
  </si>
  <si>
    <t>garden2</t>
  </si>
  <si>
    <t>furniture1</t>
  </si>
  <si>
    <t>health2</t>
  </si>
  <si>
    <t>garden1</t>
  </si>
  <si>
    <t>cool1</t>
  </si>
  <si>
    <t>computers4</t>
  </si>
  <si>
    <t>watches7</t>
  </si>
  <si>
    <t>computers3</t>
  </si>
  <si>
    <t>health4</t>
  </si>
  <si>
    <t>watches1</t>
  </si>
  <si>
    <t>computers2</t>
  </si>
  <si>
    <t>bed4</t>
  </si>
  <si>
    <t>bed5</t>
  </si>
  <si>
    <t>Row Labels</t>
  </si>
  <si>
    <t>Grand Total</t>
  </si>
  <si>
    <t>(All)</t>
  </si>
  <si>
    <t>Quantity</t>
  </si>
  <si>
    <t>Total Price</t>
  </si>
  <si>
    <t>Average Price</t>
  </si>
  <si>
    <t>Average Product Score</t>
  </si>
  <si>
    <t>Number of customers per product</t>
  </si>
  <si>
    <t>Lag_Avg_Price</t>
  </si>
  <si>
    <t xml:space="preserve"> %price change</t>
  </si>
  <si>
    <t>Lag_Avg_Units_Sold</t>
  </si>
  <si>
    <t>%unit change</t>
  </si>
  <si>
    <t>Elasticity_capped</t>
  </si>
  <si>
    <t>average_qty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</si>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</sst>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 indent="1"/>
    </xf>
    <xf numFmtId="14" fontId="0" fillId="0" borderId="0" xfId="0" applyNumberFormat="1" applyAlignment="1">
      <alignment horizontal="left"/>
    </xf>
    <xf numFmtId="164" fontId="0" fillId="0" borderId="0" xfId="0" applyNumberFormat="1"/>
    <xf numFmtId="2" fontId="0" fillId="0" borderId="0" xfId="0" applyNumberFormat="1"/>
    <xf numFmtId="10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0">
    <dxf>
      <numFmt numFmtId="2" formatCode="0.00"/>
    </dxf>
    <dxf>
      <numFmt numFmtId="2" formatCode="0.00"/>
    </dxf>
    <dxf>
      <numFmt numFmtId="14" formatCode="0.00%"/>
    </dxf>
    <dxf>
      <numFmt numFmtId="14" formatCode="0.00%"/>
    </dxf>
    <dxf>
      <numFmt numFmtId="2" formatCode="0.00"/>
    </dxf>
    <dxf>
      <numFmt numFmtId="2" formatCode="0.00"/>
    </dxf>
    <dxf>
      <numFmt numFmtId="14" formatCode="0.00%"/>
    </dxf>
    <dxf>
      <numFmt numFmtId="14" formatCode="0.00%"/>
    </dxf>
    <dxf>
      <numFmt numFmtId="2" formatCode="0.00"/>
    </dxf>
    <dxf>
      <numFmt numFmtId="2" formatCode="0.00"/>
    </dxf>
    <dxf>
      <numFmt numFmtId="14" formatCode="0.00%"/>
    </dxf>
    <dxf>
      <numFmt numFmtId="14" formatCode="0.00%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4" formatCode="0.00%"/>
    </dxf>
    <dxf>
      <numFmt numFmtId="14" formatCode="0.00%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95250</xdr:colOff>
      <xdr:row>2</xdr:row>
      <xdr:rowOff>171450</xdr:rowOff>
    </xdr:from>
    <xdr:to>
      <xdr:col>16</xdr:col>
      <xdr:colOff>133350</xdr:colOff>
      <xdr:row>27</xdr:row>
      <xdr:rowOff>161925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7994F9E-8B32-379D-1F8A-6D9BF59CA456}"/>
            </a:ext>
          </a:extLst>
        </xdr:cNvPr>
        <xdr:cNvSpPr txBox="1"/>
      </xdr:nvSpPr>
      <xdr:spPr>
        <a:xfrm>
          <a:off x="704850" y="552450"/>
          <a:ext cx="9182100" cy="47529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285750" indent="-285750">
            <a:buFont typeface="Arial" panose="020B0604020202020204" pitchFamily="34" charset="0"/>
            <a:buChar char="•"/>
          </a:pPr>
          <a:endParaRPr lang="en-US" sz="1400">
            <a:latin typeface="Aptos" panose="020B0004020202020204" pitchFamily="34" charset="0"/>
          </a:endParaRPr>
        </a:p>
        <a:p>
          <a:pPr marL="285750" indent="-285750">
            <a:buFont typeface="Arial" panose="020B0604020202020204" pitchFamily="34" charset="0"/>
            <a:buChar char="•"/>
          </a:pPr>
          <a:r>
            <a:rPr lang="en-US" sz="1400">
              <a:latin typeface="Aptos" panose="020B0004020202020204" pitchFamily="34" charset="0"/>
            </a:rPr>
            <a:t>The month</a:t>
          </a:r>
          <a:r>
            <a:rPr lang="en-US" sz="1400" baseline="0">
              <a:latin typeface="Aptos" panose="020B0004020202020204" pitchFamily="34" charset="0"/>
            </a:rPr>
            <a:t> with the highest sales was February 2018 with $88,275.95 in sales, and an average price of $101.58 per sale.</a:t>
          </a:r>
        </a:p>
        <a:p>
          <a:pPr marL="285750" indent="-285750">
            <a:buFont typeface="Arial" panose="020B0604020202020204" pitchFamily="34" charset="0"/>
            <a:buChar char="•"/>
          </a:pPr>
          <a:r>
            <a:rPr lang="en-US" sz="1400" baseline="0">
              <a:latin typeface="Aptos" panose="020B0004020202020204" pitchFamily="34" charset="0"/>
            </a:rPr>
            <a:t>The month with the highest average price of transaction was January 2017 with an average price of $318.24 per sale.</a:t>
          </a:r>
        </a:p>
        <a:p>
          <a:pPr marL="285750" indent="-285750">
            <a:buFont typeface="Arial" panose="020B0604020202020204" pitchFamily="34" charset="0"/>
            <a:buChar char="•"/>
          </a:pPr>
          <a:endParaRPr lang="en-US" sz="1400" baseline="0">
            <a:latin typeface="Aptos" panose="020B0004020202020204" pitchFamily="34" charset="0"/>
          </a:endParaRPr>
        </a:p>
        <a:p>
          <a:pPr marL="285750" indent="-285750">
            <a:buFont typeface="Arial" panose="020B0604020202020204" pitchFamily="34" charset="0"/>
            <a:buChar char="•"/>
          </a:pPr>
          <a:endParaRPr lang="en-US" sz="1400" baseline="0">
            <a:latin typeface="Aptos" panose="020B0004020202020204" pitchFamily="34" charset="0"/>
          </a:endParaRPr>
        </a:p>
        <a:p>
          <a:endParaRPr lang="en-US" sz="1400">
            <a:latin typeface="Aptos" panose="020B0004020202020204" pitchFamily="34" charset="0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IDAN" refreshedDate="46006.5441474537" createdVersion="8" refreshedVersion="8" minRefreshableVersion="3" recordCount="676" xr:uid="{CB20D95B-05CA-4B86-97E6-A7828F2CFFB6}">
  <cacheSource type="worksheet">
    <worksheetSource name="Table1"/>
  </cacheSource>
  <cacheFields count="42">
    <cacheField name="product_id" numFmtId="0">
      <sharedItems count="52">
        <s v="bed1"/>
        <s v="garden5"/>
        <s v="consoles1"/>
        <s v="garden7"/>
        <s v="health9"/>
        <s v="cool4"/>
        <s v="health3"/>
        <s v="perfumery1"/>
        <s v="cool5"/>
        <s v="health8"/>
        <s v="garden4"/>
        <s v="computers5"/>
        <s v="garden10"/>
        <s v="computers6"/>
        <s v="health6"/>
        <s v="garden6"/>
        <s v="health10"/>
        <s v="watches2"/>
        <s v="health1"/>
        <s v="garden8"/>
        <s v="garden9"/>
        <s v="watches6"/>
        <s v="cool3"/>
        <s v="perfumery2"/>
        <s v="cool2"/>
        <s v="computers1"/>
        <s v="consoles2"/>
        <s v="health5"/>
        <s v="watches8"/>
        <s v="furniture4"/>
        <s v="watches5"/>
        <s v="health7"/>
        <s v="bed3"/>
        <s v="garden3"/>
        <s v="bed2"/>
        <s v="furniture3"/>
        <s v="watches4"/>
        <s v="watches3"/>
        <s v="furniture2"/>
        <s v="garden2"/>
        <s v="furniture1"/>
        <s v="health2"/>
        <s v="garden1"/>
        <s v="cool1"/>
        <s v="computers4"/>
        <s v="watches7"/>
        <s v="computers3"/>
        <s v="health4"/>
        <s v="watches1"/>
        <s v="computers2"/>
        <s v="bed4"/>
        <s v="bed5"/>
      </sharedItems>
    </cacheField>
    <cacheField name="product_category_name" numFmtId="0">
      <sharedItems count="9">
        <s v="bed_bath_table"/>
        <s v="garden_tools"/>
        <s v="consoles_games"/>
        <s v="health_beauty"/>
        <s v="cool_stuff"/>
        <s v="perfumery"/>
        <s v="computers_accessories"/>
        <s v="watches_gifts"/>
        <s v="furniture_decor"/>
      </sharedItems>
    </cacheField>
    <cacheField name="month_year" numFmtId="14">
      <sharedItems containsSemiMixedTypes="0" containsNonDate="0" containsDate="1" containsString="0" minDate="2017-01-01T00:00:00" maxDate="2018-01-09T00:00:00" count="20">
        <d v="2017-01-05T00:00:00"/>
        <d v="2017-01-06T00:00:00"/>
        <d v="2017-01-07T00:00:00"/>
        <d v="2017-01-08T00:00:00"/>
        <d v="2017-01-09T00:00:00"/>
        <d v="2017-01-10T00:00:00"/>
        <d v="2017-01-11T00:00:00"/>
        <d v="2017-01-12T00:00:00"/>
        <d v="2018-01-01T00:00:00"/>
        <d v="2018-01-02T00:00:00"/>
        <d v="2018-01-03T00:00:00"/>
        <d v="2018-01-04T00:00:00"/>
        <d v="2018-01-05T00:00:00"/>
        <d v="2018-01-06T00:00:00"/>
        <d v="2018-01-07T00:00:00"/>
        <d v="2018-01-08T00:00:00"/>
        <d v="2017-01-03T00:00:00"/>
        <d v="2017-01-04T00:00:00"/>
        <d v="2017-01-02T00:00:00"/>
        <d v="2017-01-01T00:00:00"/>
      </sharedItems>
      <fieldGroup par="35"/>
    </cacheField>
    <cacheField name="qty" numFmtId="0">
      <sharedItems containsSemiMixedTypes="0" containsString="0" containsNumber="1" containsInteger="1" minValue="1" maxValue="122"/>
    </cacheField>
    <cacheField name="total_price" numFmtId="0">
      <sharedItems containsSemiMixedTypes="0" containsString="0" containsNumber="1" minValue="19.899999999999999" maxValue="12095"/>
    </cacheField>
    <cacheField name="freight_price" numFmtId="0">
      <sharedItems containsSemiMixedTypes="0" containsString="0" containsNumber="1" minValue="0" maxValue="79.760000000000005"/>
    </cacheField>
    <cacheField name="unit_price" numFmtId="0">
      <sharedItems containsSemiMixedTypes="0" containsString="0" containsNumber="1" minValue="19.899999999999999" maxValue="364"/>
    </cacheField>
    <cacheField name="product_name_lenght" numFmtId="0">
      <sharedItems containsSemiMixedTypes="0" containsString="0" containsNumber="1" containsInteger="1" minValue="29" maxValue="60" count="24">
        <n v="39"/>
        <n v="36"/>
        <n v="49"/>
        <n v="57"/>
        <n v="48"/>
        <n v="40"/>
        <n v="50"/>
        <n v="54"/>
        <n v="59"/>
        <n v="33"/>
        <n v="56"/>
        <n v="35"/>
        <n v="58"/>
        <n v="29"/>
        <n v="45"/>
        <n v="51"/>
        <n v="42"/>
        <n v="55"/>
        <n v="47"/>
        <n v="41"/>
        <n v="44"/>
        <n v="60"/>
        <n v="46"/>
        <n v="38"/>
      </sharedItems>
    </cacheField>
    <cacheField name="product_description_lenght" numFmtId="0">
      <sharedItems containsSemiMixedTypes="0" containsString="0" containsNumber="1" containsInteger="1" minValue="100" maxValue="3006"/>
    </cacheField>
    <cacheField name="product_photos_qty" numFmtId="0">
      <sharedItems containsSemiMixedTypes="0" containsString="0" containsNumber="1" containsInteger="1" minValue="1" maxValue="8"/>
    </cacheField>
    <cacheField name="product_weight_g" numFmtId="0">
      <sharedItems containsSemiMixedTypes="0" containsString="0" containsNumber="1" containsInteger="1" minValue="100" maxValue="9750"/>
    </cacheField>
    <cacheField name="product_score" numFmtId="0">
      <sharedItems containsSemiMixedTypes="0" containsString="0" containsNumber="1" minValue="3.3" maxValue="4.5"/>
    </cacheField>
    <cacheField name="customers" numFmtId="0">
      <sharedItems containsSemiMixedTypes="0" containsString="0" containsNumber="1" containsInteger="1" minValue="1" maxValue="339"/>
    </cacheField>
    <cacheField name="weekday" numFmtId="0">
      <sharedItems containsSemiMixedTypes="0" containsString="0" containsNumber="1" containsInteger="1" minValue="20" maxValue="23"/>
    </cacheField>
    <cacheField name="weekend" numFmtId="0">
      <sharedItems containsSemiMixedTypes="0" containsString="0" containsNumber="1" containsInteger="1" minValue="8" maxValue="10"/>
    </cacheField>
    <cacheField name="holiday" numFmtId="0">
      <sharedItems containsSemiMixedTypes="0" containsString="0" containsNumber="1" containsInteger="1" minValue="0" maxValue="4"/>
    </cacheField>
    <cacheField name="month" numFmtId="0">
      <sharedItems containsSemiMixedTypes="0" containsString="0" containsNumber="1" containsInteger="1" minValue="1" maxValue="12"/>
    </cacheField>
    <cacheField name="year" numFmtId="0">
      <sharedItems containsSemiMixedTypes="0" containsString="0" containsNumber="1" containsInteger="1" minValue="2017" maxValue="2018"/>
    </cacheField>
    <cacheField name="s" numFmtId="0">
      <sharedItems containsSemiMixedTypes="0" containsString="0" containsNumber="1" minValue="0.48426150099999998" maxValue="100"/>
    </cacheField>
    <cacheField name="volume" numFmtId="0">
      <sharedItems containsSemiMixedTypes="0" containsString="0" containsNumber="1" containsInteger="1" minValue="640" maxValue="32736"/>
    </cacheField>
    <cacheField name="comp_1" numFmtId="0">
      <sharedItems containsSemiMixedTypes="0" containsString="0" containsNumber="1" minValue="19.899999999999999" maxValue="349.9"/>
    </cacheField>
    <cacheField name="ps1" numFmtId="0">
      <sharedItems containsSemiMixedTypes="0" containsString="0" containsNumber="1" minValue="3.7" maxValue="4.5"/>
    </cacheField>
    <cacheField name="fp1" numFmtId="0">
      <sharedItems containsSemiMixedTypes="0" containsString="0" containsNumber="1" minValue="9.5438596000000001E-2" maxValue="57.23"/>
    </cacheField>
    <cacheField name="comp_2" numFmtId="0">
      <sharedItems containsSemiMixedTypes="0" containsString="0" containsNumber="1" minValue="19.899999999999999" maxValue="349.9"/>
    </cacheField>
    <cacheField name="ps2" numFmtId="0">
      <sharedItems containsSemiMixedTypes="0" containsString="0" containsNumber="1" minValue="3.3" maxValue="4.4000000000000004"/>
    </cacheField>
    <cacheField name="fp2" numFmtId="0">
      <sharedItems containsSemiMixedTypes="0" containsString="0" containsNumber="1" minValue="4.41" maxValue="57.23"/>
    </cacheField>
    <cacheField name="comp_3" numFmtId="0">
      <sharedItems containsSemiMixedTypes="0" containsString="0" containsNumber="1" minValue="19.899999999999999" maxValue="255.61"/>
    </cacheField>
    <cacheField name="ps3" numFmtId="0">
      <sharedItems containsSemiMixedTypes="0" containsString="0" containsNumber="1" minValue="3.5" maxValue="4.4000000000000004"/>
    </cacheField>
    <cacheField name="fp3" numFmtId="0">
      <sharedItems containsSemiMixedTypes="0" containsString="0" containsNumber="1" minValue="7.67" maxValue="57.23"/>
    </cacheField>
    <cacheField name="lag_price" numFmtId="0">
      <sharedItems containsSemiMixedTypes="0" containsString="0" containsNumber="1" minValue="19.850000000000001" maxValue="364"/>
    </cacheField>
    <cacheField name="Average Price" numFmtId="0">
      <sharedItems containsSemiMixedTypes="0" containsString="0" containsNumber="1" minValue="19.899999999999999" maxValue="364"/>
    </cacheField>
    <cacheField name="Lag_Avg_Price" numFmtId="0">
      <sharedItems containsMixedTypes="1" containsNumber="1" minValue="19.899999999999999" maxValue="364"/>
    </cacheField>
    <cacheField name="Lag_Avg_Units_Sold" numFmtId="0">
      <sharedItems containsMixedTypes="1" containsNumber="1" minValue="1" maxValue="16.727272727272727"/>
    </cacheField>
    <cacheField name="Months (month_year)" numFmtId="0" databaseField="0">
      <fieldGroup base="2">
        <rangePr groupBy="months" startDate="2017-01-01T00:00:00" endDate="2018-01-09T00:00:00"/>
        <groupItems count="14">
          <s v="&lt;1/1/2017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9/2018"/>
        </groupItems>
      </fieldGroup>
    </cacheField>
    <cacheField name="Quarters (month_year)" numFmtId="0" databaseField="0">
      <fieldGroup base="2">
        <rangePr groupBy="quarters" startDate="2017-01-01T00:00:00" endDate="2018-01-09T00:00:00"/>
        <groupItems count="6">
          <s v="&lt;1/1/2017"/>
          <s v="Qtr1"/>
          <s v="Qtr2"/>
          <s v="Qtr3"/>
          <s v="Qtr4"/>
          <s v="&gt;1/9/2018"/>
        </groupItems>
      </fieldGroup>
    </cacheField>
    <cacheField name="Years (month_year)" numFmtId="0" databaseField="0">
      <fieldGroup base="2">
        <rangePr groupBy="years" startDate="2017-01-01T00:00:00" endDate="2018-01-09T00:00:00"/>
        <groupItems count="4">
          <s v="&lt;1/1/2017"/>
          <s v="2017"/>
          <s v="2018"/>
          <s v="&gt;1/9/2018"/>
        </groupItems>
      </fieldGroup>
    </cacheField>
    <cacheField name="avg_price" numFmtId="0" formula="total_price/qty" databaseField="0"/>
    <cacheField name="%price_change" numFmtId="0" formula="IF(Lag_Avg_Price=0, 0, ('Average Price'-Lag_Avg_Price)/Lag_Avg_Price)" databaseField="0"/>
    <cacheField name="%unit_change" numFmtId="0" formula=" (qty-Lag_Avg_Units_Sold)/Lag_Avg_Units_Sold" databaseField="0"/>
    <cacheField name="avg_qty" numFmtId="0" formula="AVERAGE(qty)" databaseField="0"/>
    <cacheField name="Elasticity %" numFmtId="0" formula="IF('%price_change'=0, 0,'%unit_change'/'%price_change')" databaseField="0"/>
    <cacheField name="Adjust_Elasticity" numFmtId="0" formula="MAX(MIN('Elasticity %', 5),-5)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76">
  <r>
    <x v="0"/>
    <x v="0"/>
    <x v="0"/>
    <n v="1"/>
    <n v="45.95"/>
    <n v="15.1"/>
    <n v="45.95"/>
    <x v="0"/>
    <n v="161"/>
    <n v="2"/>
    <n v="350"/>
    <n v="4"/>
    <n v="57"/>
    <n v="23"/>
    <n v="8"/>
    <n v="1"/>
    <n v="5"/>
    <n v="2017"/>
    <n v="10.26739356"/>
    <n v="3800"/>
    <n v="89.9"/>
    <n v="3.9"/>
    <n v="15.011896549999999"/>
    <n v="215"/>
    <n v="4.4000000000000004"/>
    <n v="8.76"/>
    <n v="45.95"/>
    <n v="4"/>
    <n v="15.1"/>
    <n v="45.9"/>
    <n v="45.95"/>
    <s v=""/>
    <s v=""/>
  </r>
  <r>
    <x v="0"/>
    <x v="0"/>
    <x v="1"/>
    <n v="3"/>
    <n v="137.85"/>
    <n v="12.93333333"/>
    <n v="45.95"/>
    <x v="0"/>
    <n v="161"/>
    <n v="2"/>
    <n v="350"/>
    <n v="4"/>
    <n v="61"/>
    <n v="22"/>
    <n v="8"/>
    <n v="1"/>
    <n v="6"/>
    <n v="2017"/>
    <n v="6.5031152649999999"/>
    <n v="3800"/>
    <n v="89.9"/>
    <n v="3.9"/>
    <n v="14.769215689999999"/>
    <n v="209"/>
    <n v="4.4000000000000004"/>
    <n v="21.321999999999999"/>
    <n v="45.95"/>
    <n v="4"/>
    <n v="12.93333333"/>
    <n v="45.95"/>
    <n v="45.949999999999996"/>
    <n v="45.95"/>
    <n v="1"/>
  </r>
  <r>
    <x v="0"/>
    <x v="0"/>
    <x v="2"/>
    <n v="6"/>
    <n v="275.7"/>
    <n v="14.84"/>
    <n v="45.95"/>
    <x v="0"/>
    <n v="161"/>
    <n v="2"/>
    <n v="350"/>
    <n v="4"/>
    <n v="123"/>
    <n v="21"/>
    <n v="10"/>
    <n v="1"/>
    <n v="7"/>
    <n v="2017"/>
    <n v="12.07165109"/>
    <n v="3800"/>
    <n v="89.9"/>
    <n v="3.9"/>
    <n v="13.993833329999999"/>
    <n v="205"/>
    <n v="4.4000000000000004"/>
    <n v="22.195932200000001"/>
    <n v="45.95"/>
    <n v="4"/>
    <n v="14.84"/>
    <n v="45.95"/>
    <n v="45.949999999999996"/>
    <n v="45.949999999999996"/>
    <n v="2"/>
  </r>
  <r>
    <x v="0"/>
    <x v="0"/>
    <x v="3"/>
    <n v="4"/>
    <n v="183.8"/>
    <n v="14.2875"/>
    <n v="45.95"/>
    <x v="0"/>
    <n v="161"/>
    <n v="2"/>
    <n v="350"/>
    <n v="4"/>
    <n v="90"/>
    <n v="23"/>
    <n v="8"/>
    <n v="1"/>
    <n v="8"/>
    <n v="2017"/>
    <n v="9.2938733130000006"/>
    <n v="3800"/>
    <n v="89.9"/>
    <n v="3.9"/>
    <n v="14.65675676"/>
    <n v="199.50980390000001"/>
    <n v="4.4000000000000004"/>
    <n v="19.41288462"/>
    <n v="45.95"/>
    <n v="4"/>
    <n v="14.2875"/>
    <n v="45.95"/>
    <n v="45.95"/>
    <n v="45.949999999999996"/>
    <n v="3.3333333333333335"/>
  </r>
  <r>
    <x v="0"/>
    <x v="0"/>
    <x v="4"/>
    <n v="2"/>
    <n v="91.9"/>
    <n v="15.1"/>
    <n v="45.95"/>
    <x v="0"/>
    <n v="161"/>
    <n v="2"/>
    <n v="350"/>
    <n v="4"/>
    <n v="54"/>
    <n v="21"/>
    <n v="9"/>
    <n v="1"/>
    <n v="9"/>
    <n v="2017"/>
    <n v="5.5555555559999998"/>
    <n v="3800"/>
    <n v="89.9"/>
    <n v="3.9"/>
    <n v="18.77652174"/>
    <n v="163.39870970000001"/>
    <n v="4.4000000000000004"/>
    <n v="24.3246875"/>
    <n v="45.95"/>
    <n v="4"/>
    <n v="15.1"/>
    <n v="45.95"/>
    <n v="45.95"/>
    <n v="45.95"/>
    <n v="3.5"/>
  </r>
  <r>
    <x v="0"/>
    <x v="0"/>
    <x v="5"/>
    <n v="3"/>
    <n v="137.85"/>
    <n v="15.1"/>
    <n v="45.95"/>
    <x v="0"/>
    <n v="161"/>
    <n v="2"/>
    <n v="350"/>
    <n v="4"/>
    <n v="50"/>
    <n v="22"/>
    <n v="9"/>
    <n v="2"/>
    <n v="10"/>
    <n v="2017"/>
    <n v="8.3333333330000006"/>
    <n v="3800"/>
    <n v="89.9"/>
    <n v="3.9"/>
    <n v="21.57214286"/>
    <n v="45.95"/>
    <n v="4"/>
    <n v="15.1"/>
    <n v="45.95"/>
    <n v="4"/>
    <n v="15.1"/>
    <n v="45.95"/>
    <n v="45.949999999999996"/>
    <n v="45.95"/>
    <n v="3.2"/>
  </r>
  <r>
    <x v="0"/>
    <x v="0"/>
    <x v="6"/>
    <n v="11"/>
    <n v="445.85"/>
    <n v="15.832727269999999"/>
    <n v="40.531818180000002"/>
    <x v="0"/>
    <n v="161"/>
    <n v="2"/>
    <n v="350"/>
    <n v="4"/>
    <n v="97"/>
    <n v="22"/>
    <n v="8"/>
    <n v="4"/>
    <n v="11"/>
    <n v="2017"/>
    <n v="30.555555559999998"/>
    <n v="3800"/>
    <n v="89.9"/>
    <n v="3.9"/>
    <n v="16.294"/>
    <n v="40.531818180000002"/>
    <n v="4"/>
    <n v="15.832727269999999"/>
    <n v="40.531818180000002"/>
    <n v="4"/>
    <n v="15.832727269999999"/>
    <n v="45.95"/>
    <n v="40.531818181818181"/>
    <n v="45.949999999999996"/>
    <n v="3.1666666666666665"/>
  </r>
  <r>
    <x v="0"/>
    <x v="0"/>
    <x v="7"/>
    <n v="6"/>
    <n v="239.94"/>
    <n v="15.23"/>
    <n v="39.99"/>
    <x v="0"/>
    <n v="161"/>
    <n v="2"/>
    <n v="350"/>
    <n v="4"/>
    <n v="41"/>
    <n v="21"/>
    <n v="10"/>
    <n v="1"/>
    <n v="12"/>
    <n v="2017"/>
    <n v="16.666666670000001"/>
    <n v="3800"/>
    <n v="88.488235290000006"/>
    <n v="3.9"/>
    <n v="18.89833333"/>
    <n v="39.99"/>
    <n v="4"/>
    <n v="15.23"/>
    <n v="39.99"/>
    <n v="4"/>
    <n v="15.23"/>
    <n v="40.531818180000002"/>
    <n v="39.99"/>
    <n v="40.531818181818181"/>
    <n v="4.2857142857142856"/>
  </r>
  <r>
    <x v="0"/>
    <x v="0"/>
    <x v="8"/>
    <n v="19"/>
    <n v="759.81"/>
    <n v="16.533684210000001"/>
    <n v="39.99"/>
    <x v="0"/>
    <n v="161"/>
    <n v="2"/>
    <n v="350"/>
    <n v="4"/>
    <n v="62"/>
    <n v="23"/>
    <n v="8"/>
    <n v="2"/>
    <n v="1"/>
    <n v="2018"/>
    <n v="17.757009350000001"/>
    <n v="3800"/>
    <n v="86.9"/>
    <n v="3.9"/>
    <n v="19.383529410000001"/>
    <n v="39.99"/>
    <n v="4"/>
    <n v="16.533684210000001"/>
    <n v="39.99"/>
    <n v="4"/>
    <n v="16.533684210000001"/>
    <n v="39.99"/>
    <n v="39.989999999999995"/>
    <n v="39.99"/>
    <n v="4.5"/>
  </r>
  <r>
    <x v="0"/>
    <x v="0"/>
    <x v="9"/>
    <n v="18"/>
    <n v="719.82"/>
    <n v="13.74944444"/>
    <n v="39.99"/>
    <x v="0"/>
    <n v="161"/>
    <n v="2"/>
    <n v="350"/>
    <n v="4"/>
    <n v="62"/>
    <n v="20"/>
    <n v="8"/>
    <n v="2"/>
    <n v="2"/>
    <n v="2018"/>
    <n v="16.82242991"/>
    <n v="3800"/>
    <n v="86.9"/>
    <n v="3.9"/>
    <n v="19.20909091"/>
    <n v="39.99"/>
    <n v="4"/>
    <n v="13.74944444"/>
    <n v="39.99"/>
    <n v="4"/>
    <n v="13.74944444"/>
    <n v="39.99"/>
    <n v="39.99"/>
    <n v="39.989999999999995"/>
    <n v="6.1111111111111107"/>
  </r>
  <r>
    <x v="0"/>
    <x v="0"/>
    <x v="10"/>
    <n v="17"/>
    <n v="679.83"/>
    <n v="16.462352939999999"/>
    <n v="39.99"/>
    <x v="0"/>
    <n v="161"/>
    <n v="2"/>
    <n v="350"/>
    <n v="4"/>
    <n v="43"/>
    <n v="22"/>
    <n v="9"/>
    <n v="1"/>
    <n v="3"/>
    <n v="2018"/>
    <n v="15.88785047"/>
    <n v="3800"/>
    <n v="86.9"/>
    <n v="3.9"/>
    <n v="19.982352939999998"/>
    <n v="39.99"/>
    <n v="4"/>
    <n v="16.462352939999999"/>
    <n v="39.99"/>
    <n v="4"/>
    <n v="16.462352939999999"/>
    <n v="39.99"/>
    <n v="39.99"/>
    <n v="39.99"/>
    <n v="7.3"/>
  </r>
  <r>
    <x v="0"/>
    <x v="0"/>
    <x v="11"/>
    <n v="13"/>
    <n v="519.87"/>
    <n v="14.236153850000001"/>
    <n v="39.99"/>
    <x v="0"/>
    <n v="161"/>
    <n v="2"/>
    <n v="350"/>
    <n v="4"/>
    <n v="34"/>
    <n v="21"/>
    <n v="9"/>
    <n v="1"/>
    <n v="4"/>
    <n v="2018"/>
    <n v="12.149532710000001"/>
    <n v="3800"/>
    <n v="85.045000000000002"/>
    <n v="3.9"/>
    <n v="12.94"/>
    <n v="39.99"/>
    <n v="4"/>
    <n v="14.236153850000001"/>
    <n v="39.99"/>
    <n v="4"/>
    <n v="14.236153850000001"/>
    <n v="39.99"/>
    <n v="39.99"/>
    <n v="39.99"/>
    <n v="8.1818181818181817"/>
  </r>
  <r>
    <x v="0"/>
    <x v="0"/>
    <x v="12"/>
    <n v="19"/>
    <n v="759.81"/>
    <n v="10.25631579"/>
    <n v="39.99"/>
    <x v="0"/>
    <n v="161"/>
    <n v="2"/>
    <n v="350"/>
    <n v="4"/>
    <n v="57"/>
    <n v="23"/>
    <n v="8"/>
    <n v="3"/>
    <n v="5"/>
    <n v="2018"/>
    <n v="10.26739356"/>
    <n v="3800"/>
    <n v="83.64961538"/>
    <n v="3.9"/>
    <n v="16.78038462"/>
    <n v="39.99"/>
    <n v="4"/>
    <n v="10.25631579"/>
    <n v="39.99"/>
    <n v="4"/>
    <n v="10.25631579"/>
    <n v="39.99"/>
    <n v="39.989999999999995"/>
    <n v="39.99"/>
    <n v="8.5833333333333339"/>
  </r>
  <r>
    <x v="0"/>
    <x v="0"/>
    <x v="13"/>
    <n v="5"/>
    <n v="199.95"/>
    <n v="13.997999999999999"/>
    <n v="39.99"/>
    <x v="0"/>
    <n v="161"/>
    <n v="2"/>
    <n v="350"/>
    <n v="4"/>
    <n v="43"/>
    <n v="21"/>
    <n v="9"/>
    <n v="0"/>
    <n v="6"/>
    <n v="2018"/>
    <n v="6.5031152649999999"/>
    <n v="3800"/>
    <n v="79.900000000000006"/>
    <n v="3.9"/>
    <n v="23.005652170000001"/>
    <n v="39.99"/>
    <n v="4"/>
    <n v="13.997999999999999"/>
    <n v="39.99"/>
    <n v="4"/>
    <n v="13.997999999999999"/>
    <n v="39.99"/>
    <n v="39.989999999999995"/>
    <n v="39.989999999999995"/>
    <n v="9.384615384615385"/>
  </r>
  <r>
    <x v="0"/>
    <x v="0"/>
    <x v="14"/>
    <n v="8"/>
    <n v="319.92"/>
    <n v="20.4175"/>
    <n v="39.99"/>
    <x v="0"/>
    <n v="161"/>
    <n v="2"/>
    <n v="350"/>
    <n v="4"/>
    <n v="26"/>
    <n v="22"/>
    <n v="9"/>
    <n v="1"/>
    <n v="7"/>
    <n v="2018"/>
    <n v="12.07165109"/>
    <n v="3800"/>
    <n v="77.933333329999996"/>
    <n v="3.9"/>
    <n v="19.952000000000002"/>
    <n v="39.99"/>
    <n v="4"/>
    <n v="20.4175"/>
    <n v="39.99"/>
    <n v="4"/>
    <n v="20.4175"/>
    <n v="39.99"/>
    <n v="39.99"/>
    <n v="39.989999999999995"/>
    <n v="9.0714285714285712"/>
  </r>
  <r>
    <x v="0"/>
    <x v="0"/>
    <x v="15"/>
    <n v="8"/>
    <n v="313.92"/>
    <n v="16.333749999999998"/>
    <n v="39.24"/>
    <x v="0"/>
    <n v="161"/>
    <n v="2"/>
    <n v="350"/>
    <n v="4"/>
    <n v="15"/>
    <n v="23"/>
    <n v="8"/>
    <n v="1"/>
    <n v="8"/>
    <n v="2018"/>
    <n v="9.2938733130000006"/>
    <n v="3800"/>
    <n v="74"/>
    <n v="3.9"/>
    <n v="17.25571429"/>
    <n v="39.24"/>
    <n v="4"/>
    <n v="16.333749999999998"/>
    <n v="39.24"/>
    <n v="4"/>
    <n v="16.333749999999998"/>
    <n v="39.99"/>
    <n v="39.24"/>
    <n v="39.99"/>
    <n v="9"/>
  </r>
  <r>
    <x v="1"/>
    <x v="1"/>
    <x v="16"/>
    <n v="6"/>
    <n v="419.4"/>
    <n v="32.68"/>
    <n v="69.900000000000006"/>
    <x v="1"/>
    <n v="450"/>
    <n v="1"/>
    <n v="9000"/>
    <n v="4.0999999999999996"/>
    <n v="21"/>
    <n v="23"/>
    <n v="8"/>
    <n v="1"/>
    <n v="3"/>
    <n v="2017"/>
    <n v="9.1071428569999995"/>
    <n v="19656"/>
    <n v="69.900000000000006"/>
    <n v="4.0999999999999996"/>
    <n v="32.68"/>
    <n v="69.900000000000006"/>
    <n v="4.0999999999999996"/>
    <n v="32.68"/>
    <n v="69.900000000000006"/>
    <n v="4.0999999999999996"/>
    <n v="32.68"/>
    <n v="69.849999999999994"/>
    <n v="69.899999999999991"/>
    <s v=""/>
    <n v="8.9375"/>
  </r>
  <r>
    <x v="1"/>
    <x v="1"/>
    <x v="17"/>
    <n v="3"/>
    <n v="247.9"/>
    <n v="34.216666670000002"/>
    <n v="82.633333329999999"/>
    <x v="1"/>
    <n v="450"/>
    <n v="1"/>
    <n v="9000"/>
    <n v="4.0999999999999996"/>
    <n v="17"/>
    <n v="20"/>
    <n v="10"/>
    <n v="2"/>
    <n v="4"/>
    <n v="2017"/>
    <n v="7.6785714289999998"/>
    <n v="19656"/>
    <n v="82.633333329999999"/>
    <n v="4.0999999999999996"/>
    <n v="34.216666670000002"/>
    <n v="82.633333329999999"/>
    <n v="4.0999999999999996"/>
    <n v="34.216666670000002"/>
    <n v="82.633333329999999"/>
    <n v="4.0999999999999996"/>
    <n v="34.216666670000002"/>
    <n v="69.900000000000006"/>
    <n v="82.63333333333334"/>
    <n v="69.899999999999991"/>
    <n v="8.764705882352942"/>
  </r>
  <r>
    <x v="1"/>
    <x v="1"/>
    <x v="0"/>
    <n v="20"/>
    <n v="1956"/>
    <n v="39.897500000000001"/>
    <n v="97.58823529"/>
    <x v="1"/>
    <n v="450"/>
    <n v="1"/>
    <n v="9000"/>
    <n v="4.0999999999999996"/>
    <n v="34"/>
    <n v="23"/>
    <n v="8"/>
    <n v="1"/>
    <n v="5"/>
    <n v="2017"/>
    <n v="19.047619050000002"/>
    <n v="19656"/>
    <n v="59.9"/>
    <n v="4.0999999999999996"/>
    <n v="19.732500000000002"/>
    <n v="59.9"/>
    <n v="4.2"/>
    <n v="26.24666667"/>
    <n v="97.58823529"/>
    <n v="4.0999999999999996"/>
    <n v="39.897500000000001"/>
    <n v="82.633333329999999"/>
    <n v="97.8"/>
    <n v="82.63333333333334"/>
    <n v="8.4444444444444446"/>
  </r>
  <r>
    <x v="1"/>
    <x v="1"/>
    <x v="1"/>
    <n v="8"/>
    <n v="712"/>
    <n v="40.801250000000003"/>
    <n v="89"/>
    <x v="1"/>
    <n v="450"/>
    <n v="1"/>
    <n v="9000"/>
    <n v="4.0999999999999996"/>
    <n v="26"/>
    <n v="22"/>
    <n v="8"/>
    <n v="1"/>
    <n v="6"/>
    <n v="2017"/>
    <n v="7.6190476189999998"/>
    <n v="19656"/>
    <n v="59.9"/>
    <n v="4.0999999999999996"/>
    <n v="17.670000000000002"/>
    <n v="59.9"/>
    <n v="4.2"/>
    <n v="16.260000000000002"/>
    <n v="89"/>
    <n v="4.0999999999999996"/>
    <n v="40.801250000000003"/>
    <n v="97.58823529"/>
    <n v="89"/>
    <n v="97.8"/>
    <n v="9.0526315789473681"/>
  </r>
  <r>
    <x v="1"/>
    <x v="1"/>
    <x v="2"/>
    <n v="10"/>
    <n v="890"/>
    <n v="39.155999999999999"/>
    <n v="89"/>
    <x v="1"/>
    <n v="450"/>
    <n v="1"/>
    <n v="9000"/>
    <n v="4.0999999999999996"/>
    <n v="74"/>
    <n v="21"/>
    <n v="10"/>
    <n v="1"/>
    <n v="7"/>
    <n v="2017"/>
    <n v="9.5238095240000007"/>
    <n v="19656"/>
    <n v="59.9"/>
    <n v="4.0999999999999996"/>
    <n v="16.626428570000002"/>
    <n v="59.9"/>
    <n v="4.2"/>
    <n v="16.111578949999998"/>
    <n v="59.9"/>
    <n v="4.0999999999999996"/>
    <n v="15.392307690000001"/>
    <n v="89"/>
    <n v="89"/>
    <n v="89"/>
    <n v="9"/>
  </r>
  <r>
    <x v="1"/>
    <x v="1"/>
    <x v="3"/>
    <n v="7"/>
    <n v="683"/>
    <n v="39.5"/>
    <n v="97.333333330000002"/>
    <x v="1"/>
    <n v="450"/>
    <n v="1"/>
    <n v="9000"/>
    <n v="4.0999999999999996"/>
    <n v="113"/>
    <n v="23"/>
    <n v="8"/>
    <n v="1"/>
    <n v="8"/>
    <n v="2017"/>
    <n v="6.6666666670000003"/>
    <n v="19656"/>
    <n v="59.9"/>
    <n v="4.0999999999999996"/>
    <n v="18.162307689999999"/>
    <n v="59.9"/>
    <n v="4.2"/>
    <n v="17.68111111"/>
    <n v="59.9"/>
    <n v="4.0999999999999996"/>
    <n v="18.05043478"/>
    <n v="89"/>
    <n v="97.571428571428569"/>
    <n v="89"/>
    <n v="9.0476190476190474"/>
  </r>
  <r>
    <x v="1"/>
    <x v="1"/>
    <x v="4"/>
    <n v="9"/>
    <n v="891"/>
    <n v="39.018888889999999"/>
    <n v="99"/>
    <x v="1"/>
    <n v="450"/>
    <n v="1"/>
    <n v="9000"/>
    <n v="4.0999999999999996"/>
    <n v="115"/>
    <n v="21"/>
    <n v="9"/>
    <n v="1"/>
    <n v="9"/>
    <n v="2017"/>
    <n v="8.5714285710000002"/>
    <n v="19656"/>
    <n v="59.9"/>
    <n v="4.0999999999999996"/>
    <n v="17.187027029999999"/>
    <n v="59.9"/>
    <n v="4.2"/>
    <n v="16.811764709999999"/>
    <n v="59.9"/>
    <n v="4.0999999999999996"/>
    <n v="16.29461538"/>
    <n v="97.333333330000002"/>
    <n v="99"/>
    <n v="97.571428571428569"/>
    <n v="8.954545454545455"/>
  </r>
  <r>
    <x v="1"/>
    <x v="1"/>
    <x v="5"/>
    <n v="14"/>
    <n v="1386"/>
    <n v="45.77642857"/>
    <n v="99"/>
    <x v="1"/>
    <n v="450"/>
    <n v="1"/>
    <n v="9000"/>
    <n v="4.0999999999999996"/>
    <n v="146"/>
    <n v="22"/>
    <n v="9"/>
    <n v="2"/>
    <n v="10"/>
    <n v="2017"/>
    <n v="13.33333333"/>
    <n v="19656"/>
    <n v="59.9"/>
    <n v="4.0999999999999996"/>
    <n v="18.065897440000001"/>
    <n v="59.9"/>
    <n v="4.2"/>
    <n v="17.595483869999999"/>
    <n v="59.9"/>
    <n v="4.0999999999999996"/>
    <n v="16.814166669999999"/>
    <n v="99"/>
    <n v="99"/>
    <n v="99"/>
    <n v="8.9565217391304355"/>
  </r>
  <r>
    <x v="1"/>
    <x v="1"/>
    <x v="6"/>
    <n v="17"/>
    <n v="1683"/>
    <n v="32.863529409999998"/>
    <n v="99"/>
    <x v="1"/>
    <n v="450"/>
    <n v="1"/>
    <n v="9000"/>
    <n v="4.0999999999999996"/>
    <n v="339"/>
    <n v="22"/>
    <n v="8"/>
    <n v="4"/>
    <n v="11"/>
    <n v="2017"/>
    <n v="16.190476189999998"/>
    <n v="19656"/>
    <n v="52.406944439999997"/>
    <n v="4.0999999999999996"/>
    <n v="17.06747253"/>
    <n v="53.648281249999997"/>
    <n v="4.2"/>
    <n v="16.075862069999999"/>
    <n v="53.785714290000001"/>
    <n v="4.0999999999999996"/>
    <n v="18.27550725"/>
    <n v="99"/>
    <n v="99"/>
    <n v="99"/>
    <n v="9.1666666666666661"/>
  </r>
  <r>
    <x v="1"/>
    <x v="1"/>
    <x v="7"/>
    <n v="11"/>
    <n v="1089"/>
    <n v="38.05545455"/>
    <n v="99"/>
    <x v="1"/>
    <n v="450"/>
    <n v="1"/>
    <n v="9000"/>
    <n v="4.0999999999999996"/>
    <n v="184"/>
    <n v="21"/>
    <n v="10"/>
    <n v="1"/>
    <n v="12"/>
    <n v="2017"/>
    <n v="10.47619048"/>
    <n v="19656"/>
    <n v="55.1"/>
    <n v="4.0999999999999996"/>
    <n v="15.759607839999999"/>
    <n v="55.424999999999997"/>
    <n v="4.2"/>
    <n v="19.184374999999999"/>
    <n v="55.75"/>
    <n v="4.0999999999999996"/>
    <n v="17.267272729999998"/>
    <n v="99"/>
    <n v="99"/>
    <n v="99"/>
    <n v="9.48"/>
  </r>
  <r>
    <x v="1"/>
    <x v="1"/>
    <x v="8"/>
    <n v="4"/>
    <n v="398"/>
    <n v="41.54"/>
    <n v="99.5"/>
    <x v="1"/>
    <n v="450"/>
    <n v="1"/>
    <n v="9000"/>
    <n v="4.0999999999999996"/>
    <n v="137"/>
    <n v="23"/>
    <n v="8"/>
    <n v="2"/>
    <n v="1"/>
    <n v="2018"/>
    <n v="50"/>
    <n v="19656"/>
    <n v="49.9"/>
    <n v="4.0999999999999996"/>
    <n v="19.495000000000001"/>
    <n v="49.9"/>
    <n v="4.2"/>
    <n v="15.841034479999999"/>
    <n v="49.9"/>
    <n v="4.0999999999999996"/>
    <n v="16.505128209999999"/>
    <n v="99"/>
    <n v="99.5"/>
    <n v="99"/>
    <n v="9.5384615384615383"/>
  </r>
  <r>
    <x v="1"/>
    <x v="1"/>
    <x v="9"/>
    <n v="2"/>
    <n v="202"/>
    <n v="43.555"/>
    <n v="101"/>
    <x v="1"/>
    <n v="450"/>
    <n v="1"/>
    <n v="9000"/>
    <n v="4.0999999999999996"/>
    <n v="160"/>
    <n v="20"/>
    <n v="8"/>
    <n v="2"/>
    <n v="2"/>
    <n v="2018"/>
    <n v="25"/>
    <n v="19656"/>
    <n v="50.545161290000003"/>
    <n v="4.0999999999999996"/>
    <n v="16.611538459999998"/>
    <n v="50.9"/>
    <n v="4.2"/>
    <n v="17.519444440000001"/>
    <n v="50.357142860000003"/>
    <n v="4.0999999999999996"/>
    <n v="18.281874999999999"/>
    <n v="99.5"/>
    <n v="101"/>
    <n v="99.5"/>
    <n v="9.3333333333333339"/>
  </r>
  <r>
    <x v="1"/>
    <x v="1"/>
    <x v="10"/>
    <n v="1"/>
    <n v="101"/>
    <n v="67.02"/>
    <n v="101"/>
    <x v="1"/>
    <n v="450"/>
    <n v="1"/>
    <n v="9000"/>
    <n v="4.0999999999999996"/>
    <n v="116"/>
    <n v="22"/>
    <n v="9"/>
    <n v="1"/>
    <n v="3"/>
    <n v="2018"/>
    <n v="9.1071428569999995"/>
    <n v="19656"/>
    <n v="53.9"/>
    <n v="4.0999999999999996"/>
    <n v="20.359677420000001"/>
    <n v="53.9"/>
    <n v="4.2"/>
    <n v="21.852857140000001"/>
    <n v="53.9"/>
    <n v="4.0999999999999996"/>
    <n v="19.024230769999999"/>
    <n v="101"/>
    <n v="101"/>
    <n v="101"/>
    <n v="9.0714285714285712"/>
  </r>
  <r>
    <x v="1"/>
    <x v="1"/>
    <x v="11"/>
    <n v="1"/>
    <n v="101"/>
    <n v="79.760000000000005"/>
    <n v="101"/>
    <x v="1"/>
    <n v="450"/>
    <n v="1"/>
    <n v="9000"/>
    <n v="4.0999999999999996"/>
    <n v="111"/>
    <n v="21"/>
    <n v="9"/>
    <n v="1"/>
    <n v="4"/>
    <n v="2018"/>
    <n v="7.6785714289999998"/>
    <n v="19656"/>
    <n v="53.9"/>
    <n v="4.0999999999999996"/>
    <n v="5.2817391300000001"/>
    <n v="53.9"/>
    <n v="4.2"/>
    <n v="19.46846154"/>
    <n v="53.9"/>
    <n v="4.0999999999999996"/>
    <n v="19.071428569999998"/>
    <n v="101"/>
    <n v="101"/>
    <n v="101"/>
    <n v="8.7931034482758612"/>
  </r>
  <r>
    <x v="2"/>
    <x v="2"/>
    <x v="2"/>
    <n v="13"/>
    <n v="258.7"/>
    <n v="13.47307692"/>
    <n v="19.899999999999999"/>
    <x v="2"/>
    <n v="100"/>
    <n v="4"/>
    <n v="150"/>
    <n v="4.2"/>
    <n v="13"/>
    <n v="21"/>
    <n v="10"/>
    <n v="1"/>
    <n v="7"/>
    <n v="2017"/>
    <n v="7.59180791"/>
    <n v="2304"/>
    <n v="19.899999999999999"/>
    <n v="4.2"/>
    <n v="13.47307692"/>
    <n v="19.899999999999999"/>
    <n v="3.9"/>
    <n v="11.85"/>
    <n v="19.899999999999999"/>
    <n v="4.2"/>
    <n v="13.47307692"/>
    <n v="19.850000000000001"/>
    <n v="19.899999999999999"/>
    <s v=""/>
    <n v="8.5333333333333332"/>
  </r>
  <r>
    <x v="2"/>
    <x v="2"/>
    <x v="3"/>
    <n v="24"/>
    <n v="477.6"/>
    <n v="16.16375"/>
    <n v="19.899999999999999"/>
    <x v="2"/>
    <n v="100"/>
    <n v="4"/>
    <n v="150"/>
    <n v="4.2"/>
    <n v="33"/>
    <n v="23"/>
    <n v="8"/>
    <n v="1"/>
    <n v="8"/>
    <n v="2017"/>
    <n v="20.33898305"/>
    <n v="2304"/>
    <n v="19.899999999999999"/>
    <n v="4.2"/>
    <n v="16.16375"/>
    <n v="19.899999999999999"/>
    <n v="3.9"/>
    <n v="15.832727269999999"/>
    <n v="19.899999999999999"/>
    <n v="4.2"/>
    <n v="16.16375"/>
    <n v="19.899999999999999"/>
    <n v="19.900000000000002"/>
    <n v="19.899999999999999"/>
    <n v="8.67741935483871"/>
  </r>
  <r>
    <x v="2"/>
    <x v="2"/>
    <x v="4"/>
    <n v="9"/>
    <n v="179.1"/>
    <n v="16.133333329999999"/>
    <n v="19.899999999999999"/>
    <x v="2"/>
    <n v="100"/>
    <n v="4"/>
    <n v="150"/>
    <n v="4.2"/>
    <n v="17"/>
    <n v="21"/>
    <n v="9"/>
    <n v="1"/>
    <n v="9"/>
    <n v="2017"/>
    <n v="7.6271186440000003"/>
    <n v="2304"/>
    <n v="19.899999999999999"/>
    <n v="4.2"/>
    <n v="16.133333329999999"/>
    <n v="19.899999999999999"/>
    <n v="3.9"/>
    <n v="15.41111111"/>
    <n v="19.899999999999999"/>
    <n v="4.2"/>
    <n v="16.133333329999999"/>
    <n v="19.899999999999999"/>
    <n v="19.899999999999999"/>
    <n v="19.900000000000002"/>
    <n v="9.15625"/>
  </r>
  <r>
    <x v="2"/>
    <x v="2"/>
    <x v="5"/>
    <n v="28"/>
    <n v="603.20000000000005"/>
    <n v="13.534285710000001"/>
    <n v="21.542857139999999"/>
    <x v="2"/>
    <n v="100"/>
    <n v="4"/>
    <n v="150"/>
    <n v="4.2"/>
    <n v="38"/>
    <n v="22"/>
    <n v="9"/>
    <n v="2"/>
    <n v="10"/>
    <n v="2017"/>
    <n v="23.728813559999999"/>
    <n v="2304"/>
    <n v="21.542857139999999"/>
    <n v="4.2"/>
    <n v="13.534285710000001"/>
    <n v="20.666666670000001"/>
    <n v="3.9"/>
    <n v="12.803333329999999"/>
    <n v="21.542857139999999"/>
    <n v="4.2"/>
    <n v="13.534285710000001"/>
    <n v="19.899999999999999"/>
    <n v="21.542857142857144"/>
    <n v="19.899999999999999"/>
    <n v="9.1515151515151523"/>
  </r>
  <r>
    <x v="2"/>
    <x v="2"/>
    <x v="6"/>
    <n v="28"/>
    <n v="686"/>
    <n v="13.64535714"/>
    <n v="24.5"/>
    <x v="2"/>
    <n v="100"/>
    <n v="4"/>
    <n v="150"/>
    <n v="4.2"/>
    <n v="49"/>
    <n v="22"/>
    <n v="8"/>
    <n v="4"/>
    <n v="11"/>
    <n v="2017"/>
    <n v="23.728813559999999"/>
    <n v="2304"/>
    <n v="24.5"/>
    <n v="4.2"/>
    <n v="13.64535714"/>
    <n v="24.5"/>
    <n v="3.9"/>
    <n v="13.65217391"/>
    <n v="24.5"/>
    <n v="4.2"/>
    <n v="13.64535714"/>
    <n v="21.542857139999999"/>
    <n v="24.5"/>
    <n v="21.542857142857144"/>
    <n v="9.7058823529411757"/>
  </r>
  <r>
    <x v="2"/>
    <x v="2"/>
    <x v="7"/>
    <n v="16"/>
    <n v="392"/>
    <n v="12.873749999999999"/>
    <n v="24.5"/>
    <x v="2"/>
    <n v="100"/>
    <n v="4"/>
    <n v="150"/>
    <n v="4.2"/>
    <n v="30"/>
    <n v="21"/>
    <n v="10"/>
    <n v="1"/>
    <n v="12"/>
    <n v="2017"/>
    <n v="13.559322030000001"/>
    <n v="2304"/>
    <n v="24.5"/>
    <n v="4.2"/>
    <n v="12.873749999999999"/>
    <n v="24.5"/>
    <n v="3.9"/>
    <n v="13.524705880000001"/>
    <n v="24.5"/>
    <n v="4.2"/>
    <n v="12.873749999999999"/>
    <n v="24.5"/>
    <n v="24.5"/>
    <n v="24.5"/>
    <n v="10.228571428571428"/>
  </r>
  <r>
    <x v="2"/>
    <x v="2"/>
    <x v="9"/>
    <n v="5"/>
    <n v="162.5"/>
    <n v="15.256"/>
    <n v="32.5"/>
    <x v="2"/>
    <n v="100"/>
    <n v="4"/>
    <n v="150"/>
    <n v="4.2"/>
    <n v="6"/>
    <n v="20"/>
    <n v="8"/>
    <n v="2"/>
    <n v="2"/>
    <n v="2018"/>
    <n v="20.833333329999999"/>
    <n v="2304"/>
    <n v="32.5"/>
    <n v="4.2"/>
    <n v="15.256"/>
    <n v="32.5"/>
    <n v="3.9"/>
    <n v="11.85"/>
    <n v="32.5"/>
    <n v="4.2"/>
    <n v="15.256"/>
    <n v="32.450000000000003"/>
    <n v="32.5"/>
    <n v="24.5"/>
    <n v="10.388888888888889"/>
  </r>
  <r>
    <x v="2"/>
    <x v="2"/>
    <x v="10"/>
    <n v="6"/>
    <n v="195"/>
    <n v="18.056666669999998"/>
    <n v="32.5"/>
    <x v="2"/>
    <n v="100"/>
    <n v="4"/>
    <n v="150"/>
    <n v="4.2"/>
    <n v="13"/>
    <n v="22"/>
    <n v="9"/>
    <n v="1"/>
    <n v="3"/>
    <n v="2018"/>
    <n v="25"/>
    <n v="2304"/>
    <n v="32.5"/>
    <n v="4.2"/>
    <n v="18.056666669999998"/>
    <n v="32.742857139999998"/>
    <n v="3.9"/>
    <n v="14.02714286"/>
    <n v="32.5"/>
    <n v="4.2"/>
    <n v="18.056666669999998"/>
    <n v="32.5"/>
    <n v="32.5"/>
    <n v="32.5"/>
    <n v="10.243243243243244"/>
  </r>
  <r>
    <x v="2"/>
    <x v="2"/>
    <x v="11"/>
    <n v="7"/>
    <n v="245.4"/>
    <n v="12.985714290000001"/>
    <n v="35.057142859999999"/>
    <x v="2"/>
    <n v="100"/>
    <n v="4"/>
    <n v="150"/>
    <n v="4.2"/>
    <n v="13"/>
    <n v="21"/>
    <n v="9"/>
    <n v="1"/>
    <n v="4"/>
    <n v="2018"/>
    <n v="29.166666670000001"/>
    <n v="2304"/>
    <n v="35.057142859999999"/>
    <n v="4.2"/>
    <n v="12.985714290000001"/>
    <n v="34.200000000000003"/>
    <n v="3.9"/>
    <n v="15.015000000000001"/>
    <n v="35.057142859999999"/>
    <n v="4.2"/>
    <n v="12.985714290000001"/>
    <n v="32.5"/>
    <n v="35.057142857142857"/>
    <n v="32.5"/>
    <n v="10.131578947368421"/>
  </r>
  <r>
    <x v="2"/>
    <x v="2"/>
    <x v="12"/>
    <n v="3"/>
    <n v="108.6"/>
    <n v="15.87"/>
    <n v="36.200000000000003"/>
    <x v="2"/>
    <n v="100"/>
    <n v="4"/>
    <n v="150"/>
    <n v="4.2"/>
    <n v="3"/>
    <n v="23"/>
    <n v="8"/>
    <n v="3"/>
    <n v="5"/>
    <n v="2018"/>
    <n v="12.5"/>
    <n v="2304"/>
    <n v="36.200000000000003"/>
    <n v="4.2"/>
    <n v="15.87"/>
    <n v="36.200000000000003"/>
    <n v="4.2"/>
    <n v="15.87"/>
    <n v="36.200000000000003"/>
    <n v="4.2"/>
    <n v="15.87"/>
    <n v="35.057142859999999"/>
    <n v="36.199999999999996"/>
    <n v="35.057142857142857"/>
    <n v="10.051282051282051"/>
  </r>
  <r>
    <x v="2"/>
    <x v="2"/>
    <x v="13"/>
    <n v="2"/>
    <n v="72.400000000000006"/>
    <n v="18.350000000000001"/>
    <n v="36.200000000000003"/>
    <x v="2"/>
    <n v="100"/>
    <n v="4"/>
    <n v="150"/>
    <n v="4.2"/>
    <n v="2"/>
    <n v="21"/>
    <n v="9"/>
    <n v="0"/>
    <n v="6"/>
    <n v="2018"/>
    <n v="8.3333333330000006"/>
    <n v="2304"/>
    <n v="36.200000000000003"/>
    <n v="4.2"/>
    <n v="18.350000000000001"/>
    <n v="36.200000000000003"/>
    <n v="4.2"/>
    <n v="18.350000000000001"/>
    <n v="36.200000000000003"/>
    <n v="4.2"/>
    <n v="18.350000000000001"/>
    <n v="36.200000000000003"/>
    <n v="36.200000000000003"/>
    <n v="36.199999999999996"/>
    <n v="9.875"/>
  </r>
  <r>
    <x v="2"/>
    <x v="2"/>
    <x v="14"/>
    <n v="1"/>
    <n v="36.200000000000003"/>
    <n v="22.18"/>
    <n v="36.200000000000003"/>
    <x v="2"/>
    <n v="100"/>
    <n v="4"/>
    <n v="150"/>
    <n v="4.2"/>
    <n v="1"/>
    <n v="22"/>
    <n v="9"/>
    <n v="1"/>
    <n v="7"/>
    <n v="2018"/>
    <n v="7.59180791"/>
    <n v="2304"/>
    <n v="36.200000000000003"/>
    <n v="4.2"/>
    <n v="22.18"/>
    <n v="36.200000000000003"/>
    <n v="4.2"/>
    <n v="22.18"/>
    <n v="36.200000000000003"/>
    <n v="4.2"/>
    <n v="22.18"/>
    <n v="36.200000000000003"/>
    <n v="36.200000000000003"/>
    <n v="36.200000000000003"/>
    <n v="9.6829268292682933"/>
  </r>
  <r>
    <x v="3"/>
    <x v="1"/>
    <x v="17"/>
    <n v="1"/>
    <n v="59.9"/>
    <n v="17.16"/>
    <n v="59.9"/>
    <x v="3"/>
    <n v="339"/>
    <n v="2"/>
    <n v="1800"/>
    <n v="4.2"/>
    <n v="17"/>
    <n v="20"/>
    <n v="10"/>
    <n v="2"/>
    <n v="4"/>
    <n v="2017"/>
    <n v="7.8796128249999997"/>
    <n v="32560"/>
    <n v="59.9"/>
    <n v="4.2"/>
    <n v="17.16"/>
    <n v="59.9"/>
    <n v="4.2"/>
    <n v="17.16"/>
    <n v="59.9"/>
    <n v="4.2"/>
    <n v="17.16"/>
    <n v="59.85"/>
    <n v="59.9"/>
    <s v=""/>
    <n v="9.4761904761904763"/>
  </r>
  <r>
    <x v="3"/>
    <x v="1"/>
    <x v="0"/>
    <n v="1"/>
    <n v="59.9"/>
    <n v="13.44"/>
    <n v="59.9"/>
    <x v="3"/>
    <n v="339"/>
    <n v="2"/>
    <n v="1800"/>
    <n v="4.2"/>
    <n v="34"/>
    <n v="23"/>
    <n v="8"/>
    <n v="1"/>
    <n v="5"/>
    <n v="2017"/>
    <n v="8.7568058079999993"/>
    <n v="32560"/>
    <n v="59.9"/>
    <n v="4.0999999999999996"/>
    <n v="19.732500000000002"/>
    <n v="59.9"/>
    <n v="4.2"/>
    <n v="26.24666667"/>
    <n v="59.9"/>
    <n v="4.2"/>
    <n v="13.44"/>
    <n v="59.9"/>
    <n v="59.9"/>
    <n v="59.9"/>
    <n v="9.279069767441861"/>
  </r>
  <r>
    <x v="3"/>
    <x v="1"/>
    <x v="2"/>
    <n v="4"/>
    <n v="239.6"/>
    <n v="17.670000000000002"/>
    <n v="59.9"/>
    <x v="3"/>
    <n v="339"/>
    <n v="2"/>
    <n v="1800"/>
    <n v="4.2"/>
    <n v="74"/>
    <n v="21"/>
    <n v="10"/>
    <n v="1"/>
    <n v="7"/>
    <n v="2017"/>
    <n v="8.711433757"/>
    <n v="32560"/>
    <n v="59.9"/>
    <n v="4.0999999999999996"/>
    <n v="16.626428570000002"/>
    <n v="59.9"/>
    <n v="4.2"/>
    <n v="16.111578949999998"/>
    <n v="59.9"/>
    <n v="4.0999999999999996"/>
    <n v="15.392307690000001"/>
    <n v="59.85"/>
    <n v="59.9"/>
    <n v="59.9"/>
    <n v="9.0909090909090917"/>
  </r>
  <r>
    <x v="3"/>
    <x v="1"/>
    <x v="3"/>
    <n v="6"/>
    <n v="359.4"/>
    <n v="16.260000000000002"/>
    <n v="59.9"/>
    <x v="3"/>
    <n v="339"/>
    <n v="2"/>
    <n v="1800"/>
    <n v="4.2"/>
    <n v="113"/>
    <n v="23"/>
    <n v="8"/>
    <n v="1"/>
    <n v="8"/>
    <n v="2017"/>
    <n v="11.31276467"/>
    <n v="32560"/>
    <n v="59.9"/>
    <n v="4.0999999999999996"/>
    <n v="18.162307689999999"/>
    <n v="59.9"/>
    <n v="4.2"/>
    <n v="17.68111111"/>
    <n v="59.9"/>
    <n v="4.0999999999999996"/>
    <n v="18.05043478"/>
    <n v="59.9"/>
    <n v="59.9"/>
    <n v="59.9"/>
    <n v="8.9777777777777779"/>
  </r>
  <r>
    <x v="3"/>
    <x v="1"/>
    <x v="4"/>
    <n v="5"/>
    <n v="299.5"/>
    <n v="16.782"/>
    <n v="59.9"/>
    <x v="3"/>
    <n v="339"/>
    <n v="2"/>
    <n v="1800"/>
    <n v="4.2"/>
    <n v="115"/>
    <n v="21"/>
    <n v="9"/>
    <n v="1"/>
    <n v="9"/>
    <n v="2017"/>
    <n v="8.6206896549999996"/>
    <n v="32560"/>
    <n v="59.9"/>
    <n v="4.0999999999999996"/>
    <n v="17.187027029999999"/>
    <n v="59.9"/>
    <n v="4.2"/>
    <n v="16.811764709999999"/>
    <n v="59.9"/>
    <n v="4.0999999999999996"/>
    <n v="16.29461538"/>
    <n v="59.9"/>
    <n v="59.9"/>
    <n v="59.9"/>
    <n v="8.9130434782608692"/>
  </r>
  <r>
    <x v="3"/>
    <x v="1"/>
    <x v="5"/>
    <n v="11"/>
    <n v="658.9"/>
    <n v="14.807272729999999"/>
    <n v="59.9"/>
    <x v="3"/>
    <n v="339"/>
    <n v="2"/>
    <n v="1800"/>
    <n v="4.2"/>
    <n v="146"/>
    <n v="22"/>
    <n v="9"/>
    <n v="2"/>
    <n v="10"/>
    <n v="2017"/>
    <n v="18.96551724"/>
    <n v="32560"/>
    <n v="59.9"/>
    <n v="4.0999999999999996"/>
    <n v="18.065897440000001"/>
    <n v="59.9"/>
    <n v="4.2"/>
    <n v="17.595483869999999"/>
    <n v="59.9"/>
    <n v="4.0999999999999996"/>
    <n v="16.814166669999999"/>
    <n v="59.9"/>
    <n v="59.9"/>
    <n v="59.9"/>
    <n v="8.8297872340425538"/>
  </r>
  <r>
    <x v="3"/>
    <x v="1"/>
    <x v="6"/>
    <n v="20"/>
    <n v="1043.5999999999999"/>
    <n v="16.015999999999998"/>
    <n v="51.32222222"/>
    <x v="3"/>
    <n v="339"/>
    <n v="2"/>
    <n v="1800"/>
    <n v="4.2"/>
    <n v="339"/>
    <n v="22"/>
    <n v="8"/>
    <n v="4"/>
    <n v="11"/>
    <n v="2017"/>
    <n v="34.482758619999998"/>
    <n v="32560"/>
    <n v="52.406944439999997"/>
    <n v="4.0999999999999996"/>
    <n v="17.06747253"/>
    <n v="53.648281249999997"/>
    <n v="4.2"/>
    <n v="16.075862069999999"/>
    <n v="53.785714290000001"/>
    <n v="4.0999999999999996"/>
    <n v="18.27550725"/>
    <n v="59.9"/>
    <n v="52.179999999999993"/>
    <n v="59.9"/>
    <n v="8.875"/>
  </r>
  <r>
    <x v="3"/>
    <x v="1"/>
    <x v="7"/>
    <n v="10"/>
    <n v="571.79999999999995"/>
    <n v="18.103000000000002"/>
    <n v="56.977777779999997"/>
    <x v="3"/>
    <n v="339"/>
    <n v="2"/>
    <n v="1800"/>
    <n v="4.2"/>
    <n v="184"/>
    <n v="21"/>
    <n v="10"/>
    <n v="1"/>
    <n v="12"/>
    <n v="2017"/>
    <n v="17.241379309999999"/>
    <n v="32560"/>
    <n v="55.1"/>
    <n v="4.0999999999999996"/>
    <n v="15.759607839999999"/>
    <n v="55.424999999999997"/>
    <n v="4.2"/>
    <n v="19.184374999999999"/>
    <n v="55.75"/>
    <n v="4.0999999999999996"/>
    <n v="17.267272729999998"/>
    <n v="51.32222222"/>
    <n v="57.179999999999993"/>
    <n v="52.179999999999993"/>
    <n v="9.1020408163265305"/>
  </r>
  <r>
    <x v="3"/>
    <x v="1"/>
    <x v="8"/>
    <n v="11"/>
    <n v="548.9"/>
    <n v="21.982727270000002"/>
    <n v="49.9"/>
    <x v="3"/>
    <n v="339"/>
    <n v="2"/>
    <n v="1800"/>
    <n v="4.2"/>
    <n v="137"/>
    <n v="23"/>
    <n v="8"/>
    <n v="2"/>
    <n v="1"/>
    <n v="2018"/>
    <n v="19.298245609999999"/>
    <n v="32560"/>
    <n v="49.9"/>
    <n v="4.0999999999999996"/>
    <n v="19.495000000000001"/>
    <n v="49.9"/>
    <n v="4.2"/>
    <n v="15.841034479999999"/>
    <n v="49.9"/>
    <n v="4.0999999999999996"/>
    <n v="16.505128209999999"/>
    <n v="56.977777779999997"/>
    <n v="49.9"/>
    <n v="57.179999999999993"/>
    <n v="9.1199999999999992"/>
  </r>
  <r>
    <x v="3"/>
    <x v="1"/>
    <x v="9"/>
    <n v="8"/>
    <n v="411.2"/>
    <n v="14.08375"/>
    <n v="51.4"/>
    <x v="3"/>
    <n v="339"/>
    <n v="2"/>
    <n v="1800"/>
    <n v="4.2"/>
    <n v="160"/>
    <n v="20"/>
    <n v="8"/>
    <n v="2"/>
    <n v="2"/>
    <n v="2018"/>
    <n v="14.03508772"/>
    <n v="32560"/>
    <n v="50.545161290000003"/>
    <n v="4.0999999999999996"/>
    <n v="16.611538459999998"/>
    <n v="50.9"/>
    <n v="4.2"/>
    <n v="17.519444440000001"/>
    <n v="50.357142860000003"/>
    <n v="4.0999999999999996"/>
    <n v="18.281874999999999"/>
    <n v="49.9"/>
    <n v="51.4"/>
    <n v="49.9"/>
    <n v="9.1568627450980387"/>
  </r>
  <r>
    <x v="3"/>
    <x v="1"/>
    <x v="10"/>
    <n v="3"/>
    <n v="161.69999999999999"/>
    <n v="21.35"/>
    <n v="53.9"/>
    <x v="3"/>
    <n v="339"/>
    <n v="2"/>
    <n v="1800"/>
    <n v="4.2"/>
    <n v="116"/>
    <n v="22"/>
    <n v="9"/>
    <n v="1"/>
    <n v="3"/>
    <n v="2018"/>
    <n v="5.263157895"/>
    <n v="32560"/>
    <n v="53.9"/>
    <n v="4.0999999999999996"/>
    <n v="20.359677420000001"/>
    <n v="53.9"/>
    <n v="4.2"/>
    <n v="21.852857140000001"/>
    <n v="53.9"/>
    <n v="4.0999999999999996"/>
    <n v="19.024230769999999"/>
    <n v="51.4"/>
    <n v="53.9"/>
    <n v="51.4"/>
    <n v="9.134615384615385"/>
  </r>
  <r>
    <x v="3"/>
    <x v="1"/>
    <x v="11"/>
    <n v="8"/>
    <n v="431.2"/>
    <n v="19.563749999999999"/>
    <n v="53.9"/>
    <x v="3"/>
    <n v="339"/>
    <n v="2"/>
    <n v="1800"/>
    <n v="4.2"/>
    <n v="111"/>
    <n v="21"/>
    <n v="9"/>
    <n v="1"/>
    <n v="4"/>
    <n v="2018"/>
    <n v="7.8796128249999997"/>
    <n v="32560"/>
    <n v="53.9"/>
    <n v="4.0999999999999996"/>
    <n v="5.2817391300000001"/>
    <n v="53.9"/>
    <n v="4.2"/>
    <n v="19.46846154"/>
    <n v="53.9"/>
    <n v="4.0999999999999996"/>
    <n v="19.071428569999998"/>
    <n v="53.9"/>
    <n v="53.9"/>
    <n v="53.9"/>
    <n v="9.0188679245283012"/>
  </r>
  <r>
    <x v="3"/>
    <x v="1"/>
    <x v="12"/>
    <n v="9"/>
    <n v="477.1"/>
    <n v="16.46"/>
    <n v="52.9"/>
    <x v="3"/>
    <n v="339"/>
    <n v="2"/>
    <n v="1800"/>
    <n v="4.2"/>
    <n v="102"/>
    <n v="23"/>
    <n v="8"/>
    <n v="3"/>
    <n v="5"/>
    <n v="2018"/>
    <n v="8.7568058079999993"/>
    <n v="32560"/>
    <n v="53.415151520000002"/>
    <n v="4.0999999999999996"/>
    <n v="10.753035710000001"/>
    <n v="53.70952381"/>
    <n v="4.2"/>
    <n v="13.510344829999999"/>
    <n v="53.057894740000002"/>
    <n v="4.0999999999999996"/>
    <n v="12.98"/>
    <n v="53.9"/>
    <n v="53.011111111111113"/>
    <n v="53.9"/>
    <n v="9"/>
  </r>
  <r>
    <x v="3"/>
    <x v="1"/>
    <x v="13"/>
    <n v="5"/>
    <n v="249.5"/>
    <n v="23.122"/>
    <n v="49.9"/>
    <x v="3"/>
    <n v="339"/>
    <n v="2"/>
    <n v="1800"/>
    <n v="4.2"/>
    <n v="58"/>
    <n v="21"/>
    <n v="9"/>
    <n v="0"/>
    <n v="6"/>
    <n v="2018"/>
    <n v="8.7719298250000008"/>
    <n v="32560"/>
    <n v="49.9"/>
    <n v="4.0999999999999996"/>
    <n v="19.89083333"/>
    <n v="49.9"/>
    <n v="4.2"/>
    <n v="23.251666669999999"/>
    <n v="49.9"/>
    <n v="4.0999999999999996"/>
    <n v="22.878666670000001"/>
    <n v="52.9"/>
    <n v="49.9"/>
    <n v="53.011111111111113"/>
    <n v="9"/>
  </r>
  <r>
    <x v="3"/>
    <x v="1"/>
    <x v="14"/>
    <n v="6"/>
    <n v="299.39999999999998"/>
    <n v="20.99"/>
    <n v="49.9"/>
    <x v="3"/>
    <n v="339"/>
    <n v="2"/>
    <n v="1800"/>
    <n v="4.2"/>
    <n v="54"/>
    <n v="22"/>
    <n v="9"/>
    <n v="1"/>
    <n v="7"/>
    <n v="2018"/>
    <n v="8.711433757"/>
    <n v="32560"/>
    <n v="49.91"/>
    <n v="4.0999999999999996"/>
    <n v="28.373333330000001"/>
    <n v="49.9"/>
    <n v="4.2"/>
    <n v="33.281428570000003"/>
    <n v="49.9"/>
    <n v="4.0999999999999996"/>
    <n v="20.99"/>
    <n v="49.9"/>
    <n v="49.9"/>
    <n v="49.9"/>
    <n v="8.9285714285714288"/>
  </r>
  <r>
    <x v="3"/>
    <x v="1"/>
    <x v="15"/>
    <n v="7"/>
    <n v="349.3"/>
    <n v="24.481428569999999"/>
    <n v="49.9"/>
    <x v="3"/>
    <n v="339"/>
    <n v="2"/>
    <n v="1800"/>
    <n v="4.2"/>
    <n v="46"/>
    <n v="23"/>
    <n v="8"/>
    <n v="1"/>
    <n v="8"/>
    <n v="2018"/>
    <n v="11.31276467"/>
    <n v="32560"/>
    <n v="49.91"/>
    <n v="4.0999999999999996"/>
    <n v="20.32833333"/>
    <n v="49.9"/>
    <n v="4.2"/>
    <n v="36.442"/>
    <n v="49.9"/>
    <n v="4.0999999999999996"/>
    <n v="32.32"/>
    <n v="49.9"/>
    <n v="49.9"/>
    <n v="49.9"/>
    <n v="8.8771929824561404"/>
  </r>
  <r>
    <x v="4"/>
    <x v="3"/>
    <x v="18"/>
    <n v="11"/>
    <n v="219.89"/>
    <n v="11.75090909"/>
    <n v="19.989999999999998"/>
    <x v="4"/>
    <n v="575"/>
    <n v="1"/>
    <n v="100"/>
    <n v="4.3"/>
    <n v="19"/>
    <n v="20"/>
    <n v="8"/>
    <n v="2"/>
    <n v="2"/>
    <n v="2017"/>
    <n v="14.94444444"/>
    <n v="4500"/>
    <n v="19.989999999999998"/>
    <n v="4.3"/>
    <n v="11.75090909"/>
    <n v="19.989999999999998"/>
    <n v="4.3"/>
    <n v="11.75090909"/>
    <n v="64.989999999999995"/>
    <n v="3.9"/>
    <n v="15.348000000000001"/>
    <n v="19.940000000000001"/>
    <n v="19.989999999999998"/>
    <s v=""/>
    <n v="8.8448275862068968"/>
  </r>
  <r>
    <x v="4"/>
    <x v="3"/>
    <x v="16"/>
    <n v="9"/>
    <n v="179.91"/>
    <n v="13.81888889"/>
    <n v="19.989999999999998"/>
    <x v="4"/>
    <n v="575"/>
    <n v="1"/>
    <n v="100"/>
    <n v="4.3"/>
    <n v="25"/>
    <n v="23"/>
    <n v="8"/>
    <n v="1"/>
    <n v="3"/>
    <n v="2017"/>
    <n v="9.1428571430000005"/>
    <n v="4500"/>
    <n v="19.989999999999998"/>
    <n v="4.3"/>
    <n v="13.81888889"/>
    <n v="89.99"/>
    <n v="4.0999999999999996"/>
    <n v="13.02"/>
    <n v="64.989999999999995"/>
    <n v="3.9"/>
    <n v="17.262222220000002"/>
    <n v="19.989999999999998"/>
    <n v="19.989999999999998"/>
    <n v="19.989999999999998"/>
    <n v="8.8813559322033893"/>
  </r>
  <r>
    <x v="4"/>
    <x v="3"/>
    <x v="17"/>
    <n v="13"/>
    <n v="259.87"/>
    <n v="18.03846154"/>
    <n v="19.989999999999998"/>
    <x v="4"/>
    <n v="575"/>
    <n v="1"/>
    <n v="100"/>
    <n v="4.3"/>
    <n v="23"/>
    <n v="20"/>
    <n v="10"/>
    <n v="2"/>
    <n v="4"/>
    <n v="2017"/>
    <n v="5.7777777779999999"/>
    <n v="4500"/>
    <n v="19.989999999999998"/>
    <n v="4.3"/>
    <n v="18.03846154"/>
    <n v="19.989999999999998"/>
    <n v="4.3"/>
    <n v="18.03846154"/>
    <n v="64.989999999999995"/>
    <n v="3.9"/>
    <n v="15.16888889"/>
    <n v="19.989999999999998"/>
    <n v="19.990000000000002"/>
    <n v="19.989999999999998"/>
    <n v="8.8833333333333329"/>
  </r>
  <r>
    <x v="4"/>
    <x v="3"/>
    <x v="0"/>
    <n v="16"/>
    <n v="319.83999999999997"/>
    <n v="14.8475"/>
    <n v="19.989999999999998"/>
    <x v="4"/>
    <n v="575"/>
    <n v="1"/>
    <n v="100"/>
    <n v="4.3"/>
    <n v="41"/>
    <n v="23"/>
    <n v="8"/>
    <n v="1"/>
    <n v="5"/>
    <n v="2017"/>
    <n v="9.8055555559999998"/>
    <n v="4500"/>
    <n v="19.989999999999998"/>
    <n v="4.3"/>
    <n v="14.8475"/>
    <n v="89.99"/>
    <n v="4.0999999999999996"/>
    <n v="16.098333329999999"/>
    <n v="64.989999999999995"/>
    <n v="3.9"/>
    <n v="14.811875000000001"/>
    <n v="19.989999999999998"/>
    <n v="19.989999999999998"/>
    <n v="19.990000000000002"/>
    <n v="8.9508196721311482"/>
  </r>
  <r>
    <x v="4"/>
    <x v="3"/>
    <x v="1"/>
    <n v="21"/>
    <n v="419.79"/>
    <n v="12.68333333"/>
    <n v="19.989999999999998"/>
    <x v="4"/>
    <n v="575"/>
    <n v="1"/>
    <n v="100"/>
    <n v="4.3"/>
    <n v="53"/>
    <n v="22"/>
    <n v="8"/>
    <n v="1"/>
    <n v="6"/>
    <n v="2017"/>
    <n v="7.345238095"/>
    <n v="4500"/>
    <n v="19.989999999999998"/>
    <n v="4.3"/>
    <n v="12.68333333"/>
    <n v="89.99"/>
    <n v="4.0999999999999996"/>
    <n v="14.16333333"/>
    <n v="58.799523809999997"/>
    <n v="3.9"/>
    <n v="13.903333330000001"/>
    <n v="19.989999999999998"/>
    <n v="19.990000000000002"/>
    <n v="19.989999999999998"/>
    <n v="9.064516129032258"/>
  </r>
  <r>
    <x v="4"/>
    <x v="3"/>
    <x v="2"/>
    <n v="29"/>
    <n v="579.71"/>
    <n v="11.135172409999999"/>
    <n v="19.989999999999998"/>
    <x v="4"/>
    <n v="575"/>
    <n v="1"/>
    <n v="100"/>
    <n v="4.3"/>
    <n v="61"/>
    <n v="21"/>
    <n v="10"/>
    <n v="1"/>
    <n v="7"/>
    <n v="2017"/>
    <n v="9.1230158729999999"/>
    <n v="4500"/>
    <n v="19.989999999999998"/>
    <n v="4.3"/>
    <n v="11.135172409999999"/>
    <n v="89.99"/>
    <n v="4.0999999999999996"/>
    <n v="12.11882353"/>
    <n v="59.256666670000001"/>
    <n v="3.9"/>
    <n v="17.998000000000001"/>
    <n v="19.989999999999998"/>
    <n v="19.990000000000002"/>
    <n v="19.990000000000002"/>
    <n v="9.2539682539682548"/>
  </r>
  <r>
    <x v="4"/>
    <x v="3"/>
    <x v="3"/>
    <n v="28"/>
    <n v="651.72"/>
    <n v="14.27678571"/>
    <n v="23.39740741"/>
    <x v="4"/>
    <n v="575"/>
    <n v="1"/>
    <n v="100"/>
    <n v="4.3"/>
    <n v="82"/>
    <n v="23"/>
    <n v="8"/>
    <n v="1"/>
    <n v="8"/>
    <n v="2017"/>
    <n v="8.0079365080000002"/>
    <n v="4500"/>
    <n v="23.39740741"/>
    <n v="4.3"/>
    <n v="14.27678571"/>
    <n v="89.99"/>
    <n v="4.0999999999999996"/>
    <n v="13.410555560000001"/>
    <n v="58.99"/>
    <n v="3.9"/>
    <n v="16.240909089999999"/>
    <n v="19.989999999999998"/>
    <n v="23.275714285714287"/>
    <n v="19.990000000000002"/>
    <n v="9.5625"/>
  </r>
  <r>
    <x v="4"/>
    <x v="3"/>
    <x v="4"/>
    <n v="24"/>
    <n v="575.76"/>
    <n v="16.12"/>
    <n v="23.99"/>
    <x v="4"/>
    <n v="575"/>
    <n v="1"/>
    <n v="100"/>
    <n v="4.3"/>
    <n v="89"/>
    <n v="21"/>
    <n v="9"/>
    <n v="1"/>
    <n v="9"/>
    <n v="2017"/>
    <n v="10.66666667"/>
    <n v="4500"/>
    <n v="23.99"/>
    <n v="4.3"/>
    <n v="16.12"/>
    <n v="89.99"/>
    <n v="4.0999999999999996"/>
    <n v="13.96428571"/>
    <n v="58.99"/>
    <n v="3.9"/>
    <n v="15.639200000000001"/>
    <n v="23.39740741"/>
    <n v="23.99"/>
    <n v="23.275714285714287"/>
    <n v="9.8461538461538467"/>
  </r>
  <r>
    <x v="4"/>
    <x v="3"/>
    <x v="5"/>
    <n v="27"/>
    <n v="647.73"/>
    <n v="13.13666667"/>
    <n v="23.99"/>
    <x v="4"/>
    <n v="575"/>
    <n v="1"/>
    <n v="100"/>
    <n v="4.3"/>
    <n v="81"/>
    <n v="22"/>
    <n v="9"/>
    <n v="2"/>
    <n v="10"/>
    <n v="2017"/>
    <n v="12"/>
    <n v="4500"/>
    <n v="23.99"/>
    <n v="4.3"/>
    <n v="13.13666667"/>
    <n v="89.99"/>
    <n v="4.0999999999999996"/>
    <n v="16.56291667"/>
    <n v="58.99"/>
    <n v="3.9"/>
    <n v="19.065263160000001"/>
    <n v="23.99"/>
    <n v="23.990000000000002"/>
    <n v="23.99"/>
    <n v="10.060606060606061"/>
  </r>
  <r>
    <x v="4"/>
    <x v="3"/>
    <x v="6"/>
    <n v="28"/>
    <n v="671.72"/>
    <n v="12.37535714"/>
    <n v="23.99"/>
    <x v="4"/>
    <n v="575"/>
    <n v="1"/>
    <n v="100"/>
    <n v="4.3"/>
    <n v="139"/>
    <n v="22"/>
    <n v="8"/>
    <n v="4"/>
    <n v="11"/>
    <n v="2017"/>
    <n v="12.44444444"/>
    <n v="4500"/>
    <n v="23.99"/>
    <n v="4.3"/>
    <n v="12.37535714"/>
    <n v="89.99"/>
    <n v="4.0999999999999996"/>
    <n v="16.99038462"/>
    <n v="58.99"/>
    <n v="3.9"/>
    <n v="15.71166667"/>
    <n v="23.99"/>
    <n v="23.990000000000002"/>
    <n v="23.990000000000002"/>
    <n v="10.313432835820896"/>
  </r>
  <r>
    <x v="4"/>
    <x v="3"/>
    <x v="7"/>
    <n v="19"/>
    <n v="455.81"/>
    <n v="12.45684211"/>
    <n v="23.99"/>
    <x v="4"/>
    <n v="575"/>
    <n v="1"/>
    <n v="100"/>
    <n v="4.3"/>
    <n v="112"/>
    <n v="21"/>
    <n v="10"/>
    <n v="1"/>
    <n v="12"/>
    <n v="2017"/>
    <n v="8.4444444440000002"/>
    <n v="4500"/>
    <n v="23.99"/>
    <n v="4.3"/>
    <n v="12.45684211"/>
    <n v="89.99"/>
    <n v="4.0999999999999996"/>
    <n v="15.89473684"/>
    <n v="58.99"/>
    <n v="3.9"/>
    <n v="16.332222219999998"/>
    <n v="23.99"/>
    <n v="23.99"/>
    <n v="23.990000000000002"/>
    <n v="10.573529411764707"/>
  </r>
  <r>
    <x v="4"/>
    <x v="3"/>
    <x v="8"/>
    <n v="19"/>
    <n v="455.81"/>
    <n v="11.28736842"/>
    <n v="23.99"/>
    <x v="4"/>
    <n v="575"/>
    <n v="1"/>
    <n v="100"/>
    <n v="4.3"/>
    <n v="98"/>
    <n v="23"/>
    <n v="8"/>
    <n v="2"/>
    <n v="1"/>
    <n v="2018"/>
    <n v="33.928571429999998"/>
    <n v="4500"/>
    <n v="23.99"/>
    <n v="4.3"/>
    <n v="11.28736842"/>
    <n v="89.99"/>
    <n v="4.0999999999999996"/>
    <n v="14.811"/>
    <n v="58.99"/>
    <n v="3.9"/>
    <n v="22.678333330000001"/>
    <n v="23.99"/>
    <n v="23.99"/>
    <n v="23.99"/>
    <n v="10.695652173913043"/>
  </r>
  <r>
    <x v="4"/>
    <x v="3"/>
    <x v="9"/>
    <n v="14"/>
    <n v="335.86"/>
    <n v="12.55"/>
    <n v="23.99"/>
    <x v="4"/>
    <n v="575"/>
    <n v="1"/>
    <n v="100"/>
    <n v="4.3"/>
    <n v="126"/>
    <n v="20"/>
    <n v="8"/>
    <n v="2"/>
    <n v="2"/>
    <n v="2018"/>
    <n v="14.94444444"/>
    <n v="4500"/>
    <n v="23.99"/>
    <n v="4.3"/>
    <n v="12.55"/>
    <n v="89.99"/>
    <n v="4.0999999999999996"/>
    <n v="16.307647060000001"/>
    <n v="58.99"/>
    <n v="3.9"/>
    <n v="19.574999999999999"/>
    <n v="23.99"/>
    <n v="23.990000000000002"/>
    <n v="23.99"/>
    <n v="10.814285714285715"/>
  </r>
  <r>
    <x v="4"/>
    <x v="3"/>
    <x v="10"/>
    <n v="8"/>
    <n v="191.92"/>
    <n v="14.19875"/>
    <n v="23.99"/>
    <x v="4"/>
    <n v="575"/>
    <n v="1"/>
    <n v="100"/>
    <n v="4.3"/>
    <n v="169"/>
    <n v="22"/>
    <n v="9"/>
    <n v="1"/>
    <n v="3"/>
    <n v="2018"/>
    <n v="9.1428571430000005"/>
    <n v="4500"/>
    <n v="23.99"/>
    <n v="4.3"/>
    <n v="14.19875"/>
    <n v="83.74"/>
    <n v="4.0999999999999996"/>
    <n v="11.876875"/>
    <n v="58.99"/>
    <n v="3.9"/>
    <n v="15.228"/>
    <n v="23.99"/>
    <n v="23.99"/>
    <n v="23.990000000000002"/>
    <n v="10.859154929577464"/>
  </r>
  <r>
    <x v="4"/>
    <x v="3"/>
    <x v="12"/>
    <n v="7"/>
    <n v="167.93"/>
    <n v="7.9885714290000003"/>
    <n v="23.99"/>
    <x v="4"/>
    <n v="575"/>
    <n v="1"/>
    <n v="100"/>
    <n v="4.3"/>
    <n v="159"/>
    <n v="23"/>
    <n v="8"/>
    <n v="3"/>
    <n v="5"/>
    <n v="2018"/>
    <n v="9.8055555559999998"/>
    <n v="4500"/>
    <n v="23.99"/>
    <n v="4.3"/>
    <n v="7.9885714290000003"/>
    <n v="79.989999999999995"/>
    <n v="4.0999999999999996"/>
    <n v="21.943124999999998"/>
    <n v="58.99"/>
    <n v="3.9"/>
    <n v="9.4224999999999994"/>
    <n v="23.94"/>
    <n v="23.990000000000002"/>
    <n v="23.99"/>
    <n v="10.819444444444445"/>
  </r>
  <r>
    <x v="4"/>
    <x v="3"/>
    <x v="13"/>
    <n v="3"/>
    <n v="71.97"/>
    <n v="16.27"/>
    <n v="23.99"/>
    <x v="4"/>
    <n v="575"/>
    <n v="1"/>
    <n v="100"/>
    <n v="4.3"/>
    <n v="131"/>
    <n v="21"/>
    <n v="9"/>
    <n v="0"/>
    <n v="6"/>
    <n v="2018"/>
    <n v="7.345238095"/>
    <n v="4500"/>
    <n v="23.99"/>
    <n v="4.3"/>
    <n v="16.27"/>
    <n v="79.989999999999995"/>
    <n v="4.0999999999999996"/>
    <n v="13.36230769"/>
    <n v="58.99"/>
    <n v="3.9"/>
    <n v="16.43"/>
    <n v="23.99"/>
    <n v="23.99"/>
    <n v="23.990000000000002"/>
    <n v="10.767123287671232"/>
  </r>
  <r>
    <x v="4"/>
    <x v="3"/>
    <x v="14"/>
    <n v="3"/>
    <n v="71.97"/>
    <n v="18.809999999999999"/>
    <n v="23.99"/>
    <x v="4"/>
    <n v="575"/>
    <n v="1"/>
    <n v="100"/>
    <n v="4.3"/>
    <n v="113"/>
    <n v="22"/>
    <n v="9"/>
    <n v="1"/>
    <n v="7"/>
    <n v="2018"/>
    <n v="9.1230158729999999"/>
    <n v="4500"/>
    <n v="23.99"/>
    <n v="4.3"/>
    <n v="18.809999999999999"/>
    <n v="79.989999999999995"/>
    <n v="4.0999999999999996"/>
    <n v="16.745000000000001"/>
    <n v="58.99"/>
    <n v="3.9"/>
    <n v="7.67"/>
    <n v="23.99"/>
    <n v="23.99"/>
    <n v="23.99"/>
    <n v="10.662162162162161"/>
  </r>
  <r>
    <x v="4"/>
    <x v="3"/>
    <x v="15"/>
    <n v="2"/>
    <n v="47.98"/>
    <n v="16.77"/>
    <n v="23.99"/>
    <x v="4"/>
    <n v="575"/>
    <n v="1"/>
    <n v="100"/>
    <n v="4.3"/>
    <n v="127"/>
    <n v="23"/>
    <n v="8"/>
    <n v="1"/>
    <n v="8"/>
    <n v="2018"/>
    <n v="8.0079365080000002"/>
    <n v="4500"/>
    <n v="23.99"/>
    <n v="4.3"/>
    <n v="16.77"/>
    <n v="82.821428569999995"/>
    <n v="4.0999999999999996"/>
    <n v="12.41857143"/>
    <n v="58.99"/>
    <n v="3.9"/>
    <n v="12.08333333"/>
    <n v="23.99"/>
    <n v="23.99"/>
    <n v="23.99"/>
    <n v="10.56"/>
  </r>
  <r>
    <x v="5"/>
    <x v="4"/>
    <x v="2"/>
    <n v="1"/>
    <n v="134.99"/>
    <n v="15.7"/>
    <n v="134.99"/>
    <x v="5"/>
    <n v="1456"/>
    <n v="1"/>
    <n v="2425"/>
    <n v="3.8"/>
    <n v="42"/>
    <n v="21"/>
    <n v="10"/>
    <n v="1"/>
    <n v="7"/>
    <n v="2017"/>
    <n v="1.428571429"/>
    <n v="16530"/>
    <n v="99.99"/>
    <n v="4.2"/>
    <n v="16.529090910000001"/>
    <n v="129.99"/>
    <n v="4.3"/>
    <n v="18.715624999999999"/>
    <n v="134.99"/>
    <n v="3.8"/>
    <n v="15.7"/>
    <n v="134.94"/>
    <n v="134.99"/>
    <s v=""/>
    <n v="10.447368421052632"/>
  </r>
  <r>
    <x v="5"/>
    <x v="4"/>
    <x v="3"/>
    <n v="1"/>
    <n v="134.99"/>
    <n v="15.7"/>
    <n v="134.99"/>
    <x v="5"/>
    <n v="1456"/>
    <n v="1"/>
    <n v="2425"/>
    <n v="3.8"/>
    <n v="39"/>
    <n v="23"/>
    <n v="8"/>
    <n v="1"/>
    <n v="8"/>
    <n v="2017"/>
    <n v="1.428571429"/>
    <n v="16530"/>
    <n v="99.99"/>
    <n v="4.2"/>
    <n v="18.975000000000001"/>
    <n v="116.92749999999999"/>
    <n v="4.3"/>
    <n v="19.021249999999998"/>
    <n v="134.99"/>
    <n v="3.8"/>
    <n v="15.7"/>
    <n v="134.99"/>
    <n v="134.99"/>
    <n v="134.99"/>
    <n v="10.324675324675324"/>
  </r>
  <r>
    <x v="5"/>
    <x v="4"/>
    <x v="5"/>
    <n v="12"/>
    <n v="1763.88"/>
    <n v="18.754999999999999"/>
    <n v="146.99"/>
    <x v="5"/>
    <n v="1456"/>
    <n v="1"/>
    <n v="2425"/>
    <n v="3.8"/>
    <n v="33"/>
    <n v="22"/>
    <n v="9"/>
    <n v="2"/>
    <n v="10"/>
    <n v="2017"/>
    <n v="17.14285714"/>
    <n v="16530"/>
    <n v="99.99"/>
    <n v="4.2"/>
    <n v="16.95"/>
    <n v="119.99"/>
    <n v="4.3"/>
    <n v="19.997"/>
    <n v="146.99"/>
    <n v="3.8"/>
    <n v="18.754999999999999"/>
    <n v="146.94"/>
    <n v="146.99"/>
    <n v="134.99"/>
    <n v="10.205128205128204"/>
  </r>
  <r>
    <x v="5"/>
    <x v="4"/>
    <x v="6"/>
    <n v="27"/>
    <n v="4248.7299999999996"/>
    <n v="20.837037039999998"/>
    <n v="157.36037039999999"/>
    <x v="5"/>
    <n v="1456"/>
    <n v="1"/>
    <n v="2425"/>
    <n v="3.8"/>
    <n v="42"/>
    <n v="22"/>
    <n v="8"/>
    <n v="4"/>
    <n v="11"/>
    <n v="2017"/>
    <n v="38.571428570000002"/>
    <n v="16530"/>
    <n v="99.99"/>
    <n v="4.2"/>
    <n v="16.1875"/>
    <n v="129.99"/>
    <n v="4.3"/>
    <n v="22.674444439999998"/>
    <n v="157.36037039999999"/>
    <n v="3.8"/>
    <n v="20.837037039999998"/>
    <n v="146.99"/>
    <n v="157.36037037037036"/>
    <n v="146.99"/>
    <n v="10.227848101265822"/>
  </r>
  <r>
    <x v="5"/>
    <x v="4"/>
    <x v="7"/>
    <n v="29"/>
    <n v="4842.71"/>
    <n v="24.47137931"/>
    <n v="166.99"/>
    <x v="5"/>
    <n v="1456"/>
    <n v="1"/>
    <n v="2425"/>
    <n v="3.8"/>
    <n v="38"/>
    <n v="21"/>
    <n v="10"/>
    <n v="1"/>
    <n v="12"/>
    <n v="2017"/>
    <n v="41.428571429999998"/>
    <n v="16530"/>
    <n v="99.99"/>
    <n v="4.2"/>
    <n v="15.266666669999999"/>
    <n v="129.99"/>
    <n v="4.3"/>
    <n v="25.59"/>
    <n v="166.99"/>
    <n v="3.8"/>
    <n v="24.47137931"/>
    <n v="157.36037039999999"/>
    <n v="166.99"/>
    <n v="157.36037037037036"/>
    <n v="10.4375"/>
  </r>
  <r>
    <x v="5"/>
    <x v="4"/>
    <x v="8"/>
    <n v="13"/>
    <n v="2170.87"/>
    <n v="25.286153850000002"/>
    <n v="166.99"/>
    <x v="5"/>
    <n v="1456"/>
    <n v="1"/>
    <n v="2425"/>
    <n v="3.8"/>
    <n v="102"/>
    <n v="23"/>
    <n v="8"/>
    <n v="2"/>
    <n v="1"/>
    <n v="2018"/>
    <n v="34.21052632"/>
    <n v="16530"/>
    <n v="99.99"/>
    <n v="4.2"/>
    <n v="16.54"/>
    <n v="129.99"/>
    <n v="4.3"/>
    <n v="17.41"/>
    <n v="29.5"/>
    <n v="4.4000000000000004"/>
    <n v="16.53263158"/>
    <n v="166.99"/>
    <n v="166.98999999999998"/>
    <n v="166.99"/>
    <n v="10.666666666666666"/>
  </r>
  <r>
    <x v="5"/>
    <x v="4"/>
    <x v="9"/>
    <n v="8"/>
    <n v="1415.92"/>
    <n v="22.876249999999999"/>
    <n v="176.99"/>
    <x v="5"/>
    <n v="1456"/>
    <n v="1"/>
    <n v="2425"/>
    <n v="3.8"/>
    <n v="20"/>
    <n v="20"/>
    <n v="8"/>
    <n v="2"/>
    <n v="2"/>
    <n v="2018"/>
    <n v="21.05263158"/>
    <n v="16530"/>
    <n v="99.99"/>
    <n v="4.2"/>
    <n v="13.72"/>
    <n v="129.99"/>
    <n v="4.3"/>
    <n v="16.71"/>
    <n v="176.99"/>
    <n v="3.8"/>
    <n v="22.876249999999999"/>
    <n v="166.99"/>
    <n v="176.99"/>
    <n v="166.98999999999998"/>
    <n v="10.695121951219512"/>
  </r>
  <r>
    <x v="5"/>
    <x v="4"/>
    <x v="10"/>
    <n v="11"/>
    <n v="1911.89"/>
    <n v="23.954545450000001"/>
    <n v="173.8081818"/>
    <x v="5"/>
    <n v="1456"/>
    <n v="1"/>
    <n v="2425"/>
    <n v="3.8"/>
    <n v="45"/>
    <n v="22"/>
    <n v="9"/>
    <n v="1"/>
    <n v="3"/>
    <n v="2018"/>
    <n v="28.94736842"/>
    <n v="16530"/>
    <n v="99.99"/>
    <n v="4.2"/>
    <n v="20.78"/>
    <n v="129.99"/>
    <n v="4.3"/>
    <n v="18.489999999999998"/>
    <n v="35"/>
    <n v="4.4000000000000004"/>
    <n v="16.25615385"/>
    <n v="176.99"/>
    <n v="173.80818181818182"/>
    <n v="176.99"/>
    <n v="10.662650602409638"/>
  </r>
  <r>
    <x v="5"/>
    <x v="4"/>
    <x v="11"/>
    <n v="6"/>
    <n v="1019.94"/>
    <n v="24.87833333"/>
    <n v="169.99"/>
    <x v="5"/>
    <n v="1456"/>
    <n v="1"/>
    <n v="2425"/>
    <n v="3.8"/>
    <n v="18"/>
    <n v="21"/>
    <n v="9"/>
    <n v="1"/>
    <n v="4"/>
    <n v="2018"/>
    <n v="15.78947368"/>
    <n v="16530"/>
    <n v="89.863333330000003"/>
    <n v="4.2"/>
    <n v="19.876666669999999"/>
    <n v="129.99"/>
    <n v="4.3"/>
    <n v="23.49"/>
    <n v="35"/>
    <n v="4.4000000000000004"/>
    <n v="14.845000000000001"/>
    <n v="173.8081818"/>
    <n v="169.99"/>
    <n v="173.80818181818182"/>
    <n v="10.666666666666666"/>
  </r>
  <r>
    <x v="6"/>
    <x v="3"/>
    <x v="8"/>
    <n v="1"/>
    <n v="110.99"/>
    <n v="44.63"/>
    <n v="110.99"/>
    <x v="6"/>
    <n v="1257"/>
    <n v="1"/>
    <n v="700"/>
    <n v="4.0999999999999996"/>
    <n v="98"/>
    <n v="23"/>
    <n v="8"/>
    <n v="2"/>
    <n v="1"/>
    <n v="2018"/>
    <n v="0.64102564100000003"/>
    <n v="5700"/>
    <n v="23.99"/>
    <n v="4.3"/>
    <n v="11.28736842"/>
    <n v="89.99"/>
    <n v="4.0999999999999996"/>
    <n v="14.811"/>
    <n v="58.99"/>
    <n v="3.9"/>
    <n v="22.678333330000001"/>
    <n v="110.94"/>
    <n v="110.99"/>
    <s v=""/>
    <n v="10.611764705882353"/>
  </r>
  <r>
    <x v="6"/>
    <x v="3"/>
    <x v="9"/>
    <n v="2"/>
    <n v="221.98"/>
    <n v="20.55"/>
    <n v="110.99"/>
    <x v="6"/>
    <n v="1257"/>
    <n v="1"/>
    <n v="700"/>
    <n v="4.0999999999999996"/>
    <n v="126"/>
    <n v="20"/>
    <n v="8"/>
    <n v="2"/>
    <n v="2"/>
    <n v="2018"/>
    <n v="1.2820512820000001"/>
    <n v="5700"/>
    <n v="23.99"/>
    <n v="4.3"/>
    <n v="12.55"/>
    <n v="89.99"/>
    <n v="4.0999999999999996"/>
    <n v="16.307647060000001"/>
    <n v="58.99"/>
    <n v="3.9"/>
    <n v="19.574999999999999"/>
    <n v="110.99"/>
    <n v="110.99"/>
    <n v="110.99"/>
    <n v="10.5"/>
  </r>
  <r>
    <x v="6"/>
    <x v="3"/>
    <x v="10"/>
    <n v="9"/>
    <n v="998.91"/>
    <n v="38.192222219999998"/>
    <n v="110.99"/>
    <x v="6"/>
    <n v="1257"/>
    <n v="1"/>
    <n v="700"/>
    <n v="4.0999999999999996"/>
    <n v="169"/>
    <n v="22"/>
    <n v="9"/>
    <n v="1"/>
    <n v="3"/>
    <n v="2018"/>
    <n v="5.769230769"/>
    <n v="5700"/>
    <n v="23.99"/>
    <n v="4.3"/>
    <n v="14.19875"/>
    <n v="83.74"/>
    <n v="4.0999999999999996"/>
    <n v="11.876875"/>
    <n v="58.99"/>
    <n v="3.9"/>
    <n v="15.228"/>
    <n v="110.99"/>
    <n v="110.99"/>
    <n v="110.99"/>
    <n v="10.402298850574713"/>
  </r>
  <r>
    <x v="6"/>
    <x v="3"/>
    <x v="11"/>
    <n v="13"/>
    <n v="1514.87"/>
    <n v="37.091538460000002"/>
    <n v="116.52846150000001"/>
    <x v="6"/>
    <n v="1257"/>
    <n v="1"/>
    <n v="700"/>
    <n v="4.0999999999999996"/>
    <n v="118"/>
    <n v="21"/>
    <n v="9"/>
    <n v="1"/>
    <n v="4"/>
    <n v="2018"/>
    <n v="8.3333333330000006"/>
    <n v="5700"/>
    <n v="116.52846150000001"/>
    <n v="4.0999999999999996"/>
    <n v="37.091538460000002"/>
    <n v="79.989999999999995"/>
    <n v="4.0999999999999996"/>
    <n v="14.484999999999999"/>
    <n v="58.99"/>
    <n v="3.9"/>
    <n v="16.302727269999998"/>
    <n v="110.99"/>
    <n v="116.52846153846153"/>
    <n v="110.99"/>
    <n v="10.386363636363637"/>
  </r>
  <r>
    <x v="6"/>
    <x v="3"/>
    <x v="12"/>
    <n v="23"/>
    <n v="2759.77"/>
    <n v="31.582608700000002"/>
    <n v="119.99"/>
    <x v="6"/>
    <n v="1257"/>
    <n v="1"/>
    <n v="700"/>
    <n v="4.0999999999999996"/>
    <n v="159"/>
    <n v="23"/>
    <n v="8"/>
    <n v="3"/>
    <n v="5"/>
    <n v="2018"/>
    <n v="14.743589740000001"/>
    <n v="5700"/>
    <n v="23.99"/>
    <n v="4.3"/>
    <n v="7.9885714290000003"/>
    <n v="79.989999999999995"/>
    <n v="4.0999999999999996"/>
    <n v="21.943124999999998"/>
    <n v="58.99"/>
    <n v="3.9"/>
    <n v="9.4224999999999994"/>
    <n v="116.52846150000001"/>
    <n v="119.99"/>
    <n v="116.52846153846153"/>
    <n v="10.415730337078651"/>
  </r>
  <r>
    <x v="6"/>
    <x v="3"/>
    <x v="13"/>
    <n v="43"/>
    <n v="5288.57"/>
    <n v="35.51837209"/>
    <n v="122.99"/>
    <x v="6"/>
    <n v="1257"/>
    <n v="1"/>
    <n v="700"/>
    <n v="4.0999999999999996"/>
    <n v="131"/>
    <n v="21"/>
    <n v="9"/>
    <n v="0"/>
    <n v="6"/>
    <n v="2018"/>
    <n v="27.564102559999998"/>
    <n v="5700"/>
    <n v="23.99"/>
    <n v="4.3"/>
    <n v="16.27"/>
    <n v="79.989999999999995"/>
    <n v="4.0999999999999996"/>
    <n v="13.36230769"/>
    <n v="58.99"/>
    <n v="3.9"/>
    <n v="16.43"/>
    <n v="119.99"/>
    <n v="122.99"/>
    <n v="119.99"/>
    <n v="10.555555555555555"/>
  </r>
  <r>
    <x v="6"/>
    <x v="3"/>
    <x v="14"/>
    <n v="33"/>
    <n v="4058.67"/>
    <n v="33.01"/>
    <n v="122.99"/>
    <x v="6"/>
    <n v="1257"/>
    <n v="1"/>
    <n v="700"/>
    <n v="4.0999999999999996"/>
    <n v="113"/>
    <n v="22"/>
    <n v="9"/>
    <n v="1"/>
    <n v="7"/>
    <n v="2018"/>
    <n v="21.15384615"/>
    <n v="5700"/>
    <n v="23.99"/>
    <n v="4.3"/>
    <n v="18.809999999999999"/>
    <n v="79.989999999999995"/>
    <n v="4.0999999999999996"/>
    <n v="16.745000000000001"/>
    <n v="58.99"/>
    <n v="3.9"/>
    <n v="7.67"/>
    <n v="122.99"/>
    <n v="122.99000000000001"/>
    <n v="122.99"/>
    <n v="10.912087912087912"/>
  </r>
  <r>
    <x v="6"/>
    <x v="3"/>
    <x v="15"/>
    <n v="32"/>
    <n v="3935.68"/>
    <n v="36.941875000000003"/>
    <n v="122.99"/>
    <x v="6"/>
    <n v="1257"/>
    <n v="1"/>
    <n v="700"/>
    <n v="4.0999999999999996"/>
    <n v="127"/>
    <n v="23"/>
    <n v="8"/>
    <n v="1"/>
    <n v="8"/>
    <n v="2018"/>
    <n v="20.512820510000001"/>
    <n v="5700"/>
    <n v="23.99"/>
    <n v="4.3"/>
    <n v="16.77"/>
    <n v="82.821428569999995"/>
    <n v="4.0999999999999996"/>
    <n v="12.41857143"/>
    <n v="58.99"/>
    <n v="3.9"/>
    <n v="12.08333333"/>
    <n v="122.99"/>
    <n v="122.99"/>
    <n v="122.99000000000001"/>
    <n v="11.152173913043478"/>
  </r>
  <r>
    <x v="7"/>
    <x v="5"/>
    <x v="1"/>
    <n v="4"/>
    <n v="227.96"/>
    <n v="18.452500000000001"/>
    <n v="56.99"/>
    <x v="7"/>
    <n v="1536"/>
    <n v="2"/>
    <n v="250"/>
    <n v="4.3"/>
    <n v="4"/>
    <n v="22"/>
    <n v="8"/>
    <n v="1"/>
    <n v="6"/>
    <n v="2017"/>
    <n v="4.1666666670000003"/>
    <n v="3360"/>
    <n v="56.99"/>
    <n v="4.3"/>
    <n v="18.452500000000001"/>
    <n v="56.99"/>
    <n v="4.3"/>
    <n v="18.452500000000001"/>
    <n v="56.99"/>
    <n v="4.3"/>
    <n v="18.452500000000001"/>
    <n v="56.94"/>
    <n v="56.99"/>
    <s v=""/>
    <n v="11.376344086021506"/>
  </r>
  <r>
    <x v="7"/>
    <x v="5"/>
    <x v="2"/>
    <n v="7"/>
    <n v="398.93"/>
    <n v="11.75"/>
    <n v="56.99"/>
    <x v="7"/>
    <n v="1536"/>
    <n v="2"/>
    <n v="250"/>
    <n v="4.3"/>
    <n v="7"/>
    <n v="21"/>
    <n v="10"/>
    <n v="1"/>
    <n v="7"/>
    <n v="2017"/>
    <n v="13.16964286"/>
    <n v="3360"/>
    <n v="56.99"/>
    <n v="4.3"/>
    <n v="11.75"/>
    <n v="56.99"/>
    <n v="4.3"/>
    <n v="11.75"/>
    <n v="56.99"/>
    <n v="4.3"/>
    <n v="11.75"/>
    <n v="56.99"/>
    <n v="56.99"/>
    <n v="56.99"/>
    <n v="11.297872340425531"/>
  </r>
  <r>
    <x v="7"/>
    <x v="5"/>
    <x v="3"/>
    <n v="7"/>
    <n v="398.93"/>
    <n v="13.58857143"/>
    <n v="56.99"/>
    <x v="7"/>
    <n v="1536"/>
    <n v="2"/>
    <n v="250"/>
    <n v="4.3"/>
    <n v="8"/>
    <n v="23"/>
    <n v="8"/>
    <n v="1"/>
    <n v="8"/>
    <n v="2017"/>
    <n v="8.4077380949999991"/>
    <n v="3360"/>
    <n v="56.99"/>
    <n v="4.3"/>
    <n v="13.58857143"/>
    <n v="142.5"/>
    <n v="4.4000000000000004"/>
    <n v="15.75"/>
    <n v="56.99"/>
    <n v="4.3"/>
    <n v="13.58857143"/>
    <n v="56.99"/>
    <n v="56.99"/>
    <n v="56.99"/>
    <n v="11.252631578947369"/>
  </r>
  <r>
    <x v="7"/>
    <x v="5"/>
    <x v="4"/>
    <n v="17"/>
    <n v="968.83"/>
    <n v="13.741176469999999"/>
    <n v="56.99"/>
    <x v="7"/>
    <n v="1536"/>
    <n v="2"/>
    <n v="250"/>
    <n v="4.3"/>
    <n v="18"/>
    <n v="21"/>
    <n v="9"/>
    <n v="1"/>
    <n v="9"/>
    <n v="2017"/>
    <n v="17.708333329999999"/>
    <n v="3360"/>
    <n v="56.99"/>
    <n v="4.3"/>
    <n v="13.741176469999999"/>
    <n v="142.5"/>
    <n v="4.4000000000000004"/>
    <n v="9.19"/>
    <n v="56.99"/>
    <n v="4.3"/>
    <n v="13.741176469999999"/>
    <n v="56.99"/>
    <n v="56.99"/>
    <n v="56.99"/>
    <n v="11.208333333333334"/>
  </r>
  <r>
    <x v="7"/>
    <x v="5"/>
    <x v="5"/>
    <n v="17"/>
    <n v="968.83"/>
    <n v="12.29294118"/>
    <n v="56.99"/>
    <x v="7"/>
    <n v="1536"/>
    <n v="2"/>
    <n v="250"/>
    <n v="4.3"/>
    <n v="19"/>
    <n v="22"/>
    <n v="9"/>
    <n v="2"/>
    <n v="10"/>
    <n v="2017"/>
    <n v="17.708333329999999"/>
    <n v="3360"/>
    <n v="56.99"/>
    <n v="4.3"/>
    <n v="12.29294118"/>
    <n v="142.5"/>
    <n v="4.4000000000000004"/>
    <n v="17.149999999999999"/>
    <n v="56.99"/>
    <n v="4.3"/>
    <n v="12.29294118"/>
    <n v="56.99"/>
    <n v="56.99"/>
    <n v="56.99"/>
    <n v="11.268041237113403"/>
  </r>
  <r>
    <x v="7"/>
    <x v="5"/>
    <x v="6"/>
    <n v="20"/>
    <n v="1139.8"/>
    <n v="12.714"/>
    <n v="56.99"/>
    <x v="7"/>
    <n v="1536"/>
    <n v="2"/>
    <n v="250"/>
    <n v="4.3"/>
    <n v="27"/>
    <n v="22"/>
    <n v="8"/>
    <n v="4"/>
    <n v="11"/>
    <n v="2017"/>
    <n v="20.833333329999999"/>
    <n v="3360"/>
    <n v="56.99"/>
    <n v="4.3"/>
    <n v="12.714"/>
    <n v="118.05"/>
    <n v="4.4000000000000004"/>
    <n v="14.293749999999999"/>
    <n v="56.99"/>
    <n v="4.3"/>
    <n v="12.714"/>
    <n v="56.99"/>
    <n v="56.989999999999995"/>
    <n v="56.99"/>
    <n v="11.326530612244898"/>
  </r>
  <r>
    <x v="7"/>
    <x v="5"/>
    <x v="7"/>
    <n v="24"/>
    <n v="1367.76"/>
    <n v="13.82"/>
    <n v="56.99"/>
    <x v="7"/>
    <n v="1536"/>
    <n v="2"/>
    <n v="250"/>
    <n v="4.3"/>
    <n v="34"/>
    <n v="21"/>
    <n v="10"/>
    <n v="1"/>
    <n v="12"/>
    <n v="2017"/>
    <n v="25"/>
    <n v="3360"/>
    <n v="56.99"/>
    <n v="4.3"/>
    <n v="13.82"/>
    <n v="118"/>
    <n v="4.4000000000000004"/>
    <n v="11.026666669999999"/>
    <n v="56.99"/>
    <n v="4.3"/>
    <n v="13.82"/>
    <n v="56.99"/>
    <n v="56.99"/>
    <n v="56.989999999999995"/>
    <n v="11.414141414141413"/>
  </r>
  <r>
    <x v="7"/>
    <x v="5"/>
    <x v="8"/>
    <n v="10"/>
    <n v="569.9"/>
    <n v="12.215"/>
    <n v="56.99"/>
    <x v="7"/>
    <n v="1536"/>
    <n v="2"/>
    <n v="250"/>
    <n v="4.3"/>
    <n v="15"/>
    <n v="23"/>
    <n v="8"/>
    <n v="2"/>
    <n v="1"/>
    <n v="2018"/>
    <n v="23.809523810000002"/>
    <n v="3360"/>
    <n v="56.99"/>
    <n v="4.3"/>
    <n v="12.215"/>
    <n v="117.9"/>
    <n v="4.4000000000000004"/>
    <n v="14.03833333"/>
    <n v="56.99"/>
    <n v="4.3"/>
    <n v="12.215"/>
    <n v="56.99"/>
    <n v="56.989999999999995"/>
    <n v="56.99"/>
    <n v="11.54"/>
  </r>
  <r>
    <x v="7"/>
    <x v="5"/>
    <x v="9"/>
    <n v="4"/>
    <n v="227.96"/>
    <n v="14.557499999999999"/>
    <n v="56.99"/>
    <x v="7"/>
    <n v="1536"/>
    <n v="2"/>
    <n v="250"/>
    <n v="4.3"/>
    <n v="12"/>
    <n v="20"/>
    <n v="8"/>
    <n v="2"/>
    <n v="2"/>
    <n v="2018"/>
    <n v="9.5238095240000007"/>
    <n v="3360"/>
    <n v="56.99"/>
    <n v="4.3"/>
    <n v="14.557499999999999"/>
    <n v="117.8888889"/>
    <n v="4.4000000000000004"/>
    <n v="13.880909089999999"/>
    <n v="56.99"/>
    <n v="4.3"/>
    <n v="14.557499999999999"/>
    <n v="56.99"/>
    <n v="56.99"/>
    <n v="56.989999999999995"/>
    <n v="11.524752475247524"/>
  </r>
  <r>
    <x v="7"/>
    <x v="5"/>
    <x v="10"/>
    <n v="14"/>
    <n v="706.86"/>
    <n v="15.19642857"/>
    <n v="50.49"/>
    <x v="7"/>
    <n v="1536"/>
    <n v="2"/>
    <n v="250"/>
    <n v="4.3"/>
    <n v="18"/>
    <n v="22"/>
    <n v="9"/>
    <n v="1"/>
    <n v="3"/>
    <n v="2018"/>
    <n v="33.333333330000002"/>
    <n v="3360"/>
    <n v="50.49"/>
    <n v="4.3"/>
    <n v="15.19642857"/>
    <n v="117.7"/>
    <n v="4.4000000000000004"/>
    <n v="15.175000000000001"/>
    <n v="50.49"/>
    <n v="4.3"/>
    <n v="15.19642857"/>
    <n v="56.99"/>
    <n v="50.49"/>
    <n v="56.99"/>
    <n v="11.450980392156863"/>
  </r>
  <r>
    <x v="7"/>
    <x v="5"/>
    <x v="11"/>
    <n v="2"/>
    <n v="99.98"/>
    <n v="13.664999999999999"/>
    <n v="49.99"/>
    <x v="7"/>
    <n v="1536"/>
    <n v="2"/>
    <n v="250"/>
    <n v="4.3"/>
    <n v="10"/>
    <n v="21"/>
    <n v="9"/>
    <n v="1"/>
    <n v="4"/>
    <n v="2018"/>
    <n v="4.7619047620000003"/>
    <n v="3360"/>
    <n v="49.99"/>
    <n v="4.3"/>
    <n v="13.664999999999999"/>
    <n v="117.97499999999999"/>
    <n v="4.4000000000000004"/>
    <n v="21.65"/>
    <n v="49.99"/>
    <n v="4.3"/>
    <n v="13.664999999999999"/>
    <n v="50.49"/>
    <n v="49.99"/>
    <n v="50.49"/>
    <n v="11.475728155339805"/>
  </r>
  <r>
    <x v="7"/>
    <x v="5"/>
    <x v="14"/>
    <n v="8"/>
    <n v="399.92"/>
    <n v="12.522500000000001"/>
    <n v="49.99"/>
    <x v="7"/>
    <n v="1536"/>
    <n v="2"/>
    <n v="250"/>
    <n v="4.3"/>
    <n v="13"/>
    <n v="22"/>
    <n v="9"/>
    <n v="1"/>
    <n v="7"/>
    <n v="2018"/>
    <n v="13.16964286"/>
    <n v="3360"/>
    <n v="49.99"/>
    <n v="4.3"/>
    <n v="12.522500000000001"/>
    <n v="118.7"/>
    <n v="4.4000000000000004"/>
    <n v="15.978"/>
    <n v="49.99"/>
    <n v="4.3"/>
    <n v="12.522500000000001"/>
    <n v="49.94"/>
    <n v="49.99"/>
    <n v="49.99"/>
    <n v="11.384615384615385"/>
  </r>
  <r>
    <x v="7"/>
    <x v="5"/>
    <x v="15"/>
    <n v="4"/>
    <n v="199.96"/>
    <n v="12.28"/>
    <n v="49.99"/>
    <x v="7"/>
    <n v="1536"/>
    <n v="2"/>
    <n v="250"/>
    <n v="4.3"/>
    <n v="19"/>
    <n v="23"/>
    <n v="8"/>
    <n v="1"/>
    <n v="8"/>
    <n v="2018"/>
    <n v="8.4077380949999991"/>
    <n v="3360"/>
    <n v="49.99"/>
    <n v="4.3"/>
    <n v="12.28"/>
    <n v="116.9066667"/>
    <n v="4.4000000000000004"/>
    <n v="17.790588240000002"/>
    <n v="49.99"/>
    <n v="4.3"/>
    <n v="12.28"/>
    <n v="49.99"/>
    <n v="49.99"/>
    <n v="49.99"/>
    <n v="11.352380952380953"/>
  </r>
  <r>
    <x v="8"/>
    <x v="4"/>
    <x v="17"/>
    <n v="2"/>
    <n v="199.98"/>
    <n v="21.17"/>
    <n v="99.99"/>
    <x v="7"/>
    <n v="995"/>
    <n v="1"/>
    <n v="4475"/>
    <n v="4.3"/>
    <n v="33"/>
    <n v="20"/>
    <n v="10"/>
    <n v="2"/>
    <n v="4"/>
    <n v="2017"/>
    <n v="9.7031963470000004"/>
    <n v="32736"/>
    <n v="99.99"/>
    <n v="4.2"/>
    <n v="14.202352940000001"/>
    <n v="129.99"/>
    <n v="4.3"/>
    <n v="17.396428570000001"/>
    <n v="99.99"/>
    <n v="4.3"/>
    <n v="21.17"/>
    <n v="99.94"/>
    <n v="99.99"/>
    <s v=""/>
    <n v="11.283018867924529"/>
  </r>
  <r>
    <x v="8"/>
    <x v="4"/>
    <x v="0"/>
    <n v="18"/>
    <n v="1799.82"/>
    <n v="15.577222219999999"/>
    <n v="99.99"/>
    <x v="7"/>
    <n v="995"/>
    <n v="1"/>
    <n v="4475"/>
    <n v="4.3"/>
    <n v="58"/>
    <n v="23"/>
    <n v="8"/>
    <n v="1"/>
    <n v="5"/>
    <n v="2017"/>
    <n v="24.657534250000001"/>
    <n v="32736"/>
    <n v="99.99"/>
    <n v="4.2"/>
    <n v="15.02090909"/>
    <n v="129.99"/>
    <n v="4.3"/>
    <n v="18.272777779999998"/>
    <n v="99.99"/>
    <n v="4.3"/>
    <n v="15.577222219999999"/>
    <n v="99.99"/>
    <n v="99.99"/>
    <n v="99.99"/>
    <n v="11.196261682242991"/>
  </r>
  <r>
    <x v="8"/>
    <x v="4"/>
    <x v="1"/>
    <n v="11"/>
    <n v="1099.8900000000001"/>
    <n v="20.490909089999999"/>
    <n v="99.99"/>
    <x v="7"/>
    <n v="995"/>
    <n v="1"/>
    <n v="4475"/>
    <n v="4.3"/>
    <n v="42"/>
    <n v="22"/>
    <n v="8"/>
    <n v="1"/>
    <n v="6"/>
    <n v="2017"/>
    <n v="15.06849315"/>
    <n v="32736"/>
    <n v="99.99"/>
    <n v="4.2"/>
    <n v="13.826428569999999"/>
    <n v="129.99"/>
    <n v="4.3"/>
    <n v="17.061176469999999"/>
    <n v="99.99"/>
    <n v="4.3"/>
    <n v="20.490909089999999"/>
    <n v="99.99"/>
    <n v="99.990000000000009"/>
    <n v="99.99"/>
    <n v="11.25925925925926"/>
  </r>
  <r>
    <x v="8"/>
    <x v="4"/>
    <x v="2"/>
    <n v="14"/>
    <n v="1399.86"/>
    <n v="19.912142859999999"/>
    <n v="99.99"/>
    <x v="7"/>
    <n v="995"/>
    <n v="1"/>
    <n v="4475"/>
    <n v="4.3"/>
    <n v="42"/>
    <n v="21"/>
    <n v="10"/>
    <n v="1"/>
    <n v="7"/>
    <n v="2017"/>
    <n v="19.178082190000001"/>
    <n v="32736"/>
    <n v="99.99"/>
    <n v="4.2"/>
    <n v="16.529090910000001"/>
    <n v="129.99"/>
    <n v="4.3"/>
    <n v="18.715624999999999"/>
    <n v="99.99"/>
    <n v="4.3"/>
    <n v="19.912142859999999"/>
    <n v="99.99"/>
    <n v="99.99"/>
    <n v="99.990000000000009"/>
    <n v="11.256880733944953"/>
  </r>
  <r>
    <x v="8"/>
    <x v="4"/>
    <x v="3"/>
    <n v="8"/>
    <n v="799.92"/>
    <n v="18.228750000000002"/>
    <n v="99.99"/>
    <x v="7"/>
    <n v="995"/>
    <n v="1"/>
    <n v="4475"/>
    <n v="4.3"/>
    <n v="39"/>
    <n v="23"/>
    <n v="8"/>
    <n v="1"/>
    <n v="8"/>
    <n v="2017"/>
    <n v="10.958904110000001"/>
    <n v="32736"/>
    <n v="99.99"/>
    <n v="4.2"/>
    <n v="18.975000000000001"/>
    <n v="116.92749999999999"/>
    <n v="4.3"/>
    <n v="19.021249999999998"/>
    <n v="99.99"/>
    <n v="4.3"/>
    <n v="18.228750000000002"/>
    <n v="99.99"/>
    <n v="99.99"/>
    <n v="99.99"/>
    <n v="11.281818181818181"/>
  </r>
  <r>
    <x v="8"/>
    <x v="4"/>
    <x v="4"/>
    <n v="6"/>
    <n v="599.94000000000005"/>
    <n v="17.78166667"/>
    <n v="99.99"/>
    <x v="7"/>
    <n v="995"/>
    <n v="1"/>
    <n v="4475"/>
    <n v="4.3"/>
    <n v="10"/>
    <n v="21"/>
    <n v="9"/>
    <n v="1"/>
    <n v="9"/>
    <n v="2017"/>
    <n v="8.2191780820000009"/>
    <n v="32736"/>
    <n v="99.99"/>
    <n v="4.2"/>
    <n v="15.93333333"/>
    <n v="99.99"/>
    <n v="4.3"/>
    <n v="17.78166667"/>
    <n v="29.5"/>
    <n v="4.4000000000000004"/>
    <n v="11.73"/>
    <n v="99.99"/>
    <n v="99.990000000000009"/>
    <n v="99.99"/>
    <n v="11.252252252252251"/>
  </r>
  <r>
    <x v="8"/>
    <x v="4"/>
    <x v="5"/>
    <n v="9"/>
    <n v="899.91"/>
    <n v="18.518888889999999"/>
    <n v="99.99"/>
    <x v="7"/>
    <n v="995"/>
    <n v="1"/>
    <n v="4475"/>
    <n v="4.3"/>
    <n v="33"/>
    <n v="22"/>
    <n v="9"/>
    <n v="2"/>
    <n v="10"/>
    <n v="2017"/>
    <n v="12.32876712"/>
    <n v="32736"/>
    <n v="99.99"/>
    <n v="4.2"/>
    <n v="16.95"/>
    <n v="119.99"/>
    <n v="4.3"/>
    <n v="19.997"/>
    <n v="99.99"/>
    <n v="4.3"/>
    <n v="18.518888889999999"/>
    <n v="99.99"/>
    <n v="99.99"/>
    <n v="99.990000000000009"/>
    <n v="11.205357142857142"/>
  </r>
  <r>
    <x v="8"/>
    <x v="4"/>
    <x v="6"/>
    <n v="2"/>
    <n v="199.98"/>
    <n v="17.45"/>
    <n v="99.99"/>
    <x v="7"/>
    <n v="995"/>
    <n v="1"/>
    <n v="4475"/>
    <n v="4.3"/>
    <n v="42"/>
    <n v="22"/>
    <n v="8"/>
    <n v="4"/>
    <n v="11"/>
    <n v="2017"/>
    <n v="2.7397260270000001"/>
    <n v="32736"/>
    <n v="99.99"/>
    <n v="4.2"/>
    <n v="16.1875"/>
    <n v="129.99"/>
    <n v="4.3"/>
    <n v="22.674444439999998"/>
    <n v="99.99"/>
    <n v="4.3"/>
    <n v="17.45"/>
    <n v="99.99"/>
    <n v="99.99"/>
    <n v="99.99"/>
    <n v="11.185840707964601"/>
  </r>
  <r>
    <x v="8"/>
    <x v="4"/>
    <x v="7"/>
    <n v="3"/>
    <n v="299.97000000000003"/>
    <n v="17.95"/>
    <n v="99.99"/>
    <x v="7"/>
    <n v="995"/>
    <n v="1"/>
    <n v="4475"/>
    <n v="4.3"/>
    <n v="38"/>
    <n v="21"/>
    <n v="10"/>
    <n v="1"/>
    <n v="12"/>
    <n v="2017"/>
    <n v="4.1095890410000004"/>
    <n v="32736"/>
    <n v="99.99"/>
    <n v="4.2"/>
    <n v="15.266666669999999"/>
    <n v="129.99"/>
    <n v="4.3"/>
    <n v="25.59"/>
    <n v="99.99"/>
    <n v="4.3"/>
    <n v="17.95"/>
    <n v="99.99"/>
    <n v="99.990000000000009"/>
    <n v="99.99"/>
    <n v="11.105263157894736"/>
  </r>
  <r>
    <x v="8"/>
    <x v="4"/>
    <x v="8"/>
    <n v="6"/>
    <n v="599.94000000000005"/>
    <n v="15.901666669999999"/>
    <n v="99.99"/>
    <x v="7"/>
    <n v="995"/>
    <n v="1"/>
    <n v="4475"/>
    <n v="4.3"/>
    <n v="102"/>
    <n v="23"/>
    <n v="8"/>
    <n v="2"/>
    <n v="1"/>
    <n v="2018"/>
    <n v="25"/>
    <n v="32736"/>
    <n v="99.99"/>
    <n v="4.2"/>
    <n v="16.54"/>
    <n v="129.99"/>
    <n v="4.3"/>
    <n v="17.41"/>
    <n v="29.5"/>
    <n v="4.4000000000000004"/>
    <n v="16.53263158"/>
    <n v="99.99"/>
    <n v="99.990000000000009"/>
    <n v="99.990000000000009"/>
    <n v="11.034782608695652"/>
  </r>
  <r>
    <x v="8"/>
    <x v="4"/>
    <x v="9"/>
    <n v="9"/>
    <n v="899.91"/>
    <n v="19.081111109999998"/>
    <n v="99.99"/>
    <x v="7"/>
    <n v="995"/>
    <n v="1"/>
    <n v="4475"/>
    <n v="4.3"/>
    <n v="20"/>
    <n v="20"/>
    <n v="8"/>
    <n v="2"/>
    <n v="2"/>
    <n v="2018"/>
    <n v="37.5"/>
    <n v="32736"/>
    <n v="99.99"/>
    <n v="4.2"/>
    <n v="13.72"/>
    <n v="129.99"/>
    <n v="4.3"/>
    <n v="16.71"/>
    <n v="99.99"/>
    <n v="4.3"/>
    <n v="19.081111109999998"/>
    <n v="99.99"/>
    <n v="99.99"/>
    <n v="99.990000000000009"/>
    <n v="10.991379310344827"/>
  </r>
  <r>
    <x v="8"/>
    <x v="4"/>
    <x v="10"/>
    <n v="5"/>
    <n v="489.76"/>
    <n v="17.591999999999999"/>
    <n v="97.951999999999998"/>
    <x v="7"/>
    <n v="995"/>
    <n v="1"/>
    <n v="4475"/>
    <n v="4.3"/>
    <n v="45"/>
    <n v="22"/>
    <n v="9"/>
    <n v="1"/>
    <n v="3"/>
    <n v="2018"/>
    <n v="20.833333329999999"/>
    <n v="32736"/>
    <n v="99.99"/>
    <n v="4.2"/>
    <n v="20.78"/>
    <n v="129.99"/>
    <n v="4.3"/>
    <n v="18.489999999999998"/>
    <n v="35"/>
    <n v="4.4000000000000004"/>
    <n v="16.25615385"/>
    <n v="99.99"/>
    <n v="97.951999999999998"/>
    <n v="99.99"/>
    <n v="10.974358974358974"/>
  </r>
  <r>
    <x v="8"/>
    <x v="4"/>
    <x v="11"/>
    <n v="4"/>
    <n v="338.77"/>
    <n v="18.195"/>
    <n v="84.692499999999995"/>
    <x v="7"/>
    <n v="995"/>
    <n v="1"/>
    <n v="4475"/>
    <n v="4.3"/>
    <n v="18"/>
    <n v="21"/>
    <n v="9"/>
    <n v="1"/>
    <n v="4"/>
    <n v="2018"/>
    <n v="9.7031963470000004"/>
    <n v="32736"/>
    <n v="89.863333330000003"/>
    <n v="4.2"/>
    <n v="19.876666669999999"/>
    <n v="129.99"/>
    <n v="4.3"/>
    <n v="23.49"/>
    <n v="35"/>
    <n v="4.4000000000000004"/>
    <n v="14.845000000000001"/>
    <n v="97.951999999999998"/>
    <n v="84.692499999999995"/>
    <n v="97.951999999999998"/>
    <n v="10.923728813559322"/>
  </r>
  <r>
    <x v="9"/>
    <x v="3"/>
    <x v="16"/>
    <n v="6"/>
    <n v="539.94000000000005"/>
    <n v="13.02"/>
    <n v="89.99"/>
    <x v="8"/>
    <n v="492"/>
    <n v="3"/>
    <n v="250"/>
    <n v="4.0999999999999996"/>
    <n v="25"/>
    <n v="23"/>
    <n v="8"/>
    <n v="1"/>
    <n v="3"/>
    <n v="2017"/>
    <n v="9.1344405379999998"/>
    <n v="3960"/>
    <n v="19.989999999999998"/>
    <n v="4.3"/>
    <n v="13.81888889"/>
    <n v="89.99"/>
    <n v="4.0999999999999996"/>
    <n v="13.02"/>
    <n v="64.989999999999995"/>
    <n v="3.9"/>
    <n v="17.262222220000002"/>
    <n v="89.94"/>
    <n v="89.990000000000009"/>
    <s v=""/>
    <n v="10.865546218487395"/>
  </r>
  <r>
    <x v="9"/>
    <x v="3"/>
    <x v="0"/>
    <n v="6"/>
    <n v="539.94000000000005"/>
    <n v="16.098333329999999"/>
    <n v="89.99"/>
    <x v="8"/>
    <n v="492"/>
    <n v="3"/>
    <n v="250"/>
    <n v="4.0999999999999996"/>
    <n v="41"/>
    <n v="23"/>
    <n v="8"/>
    <n v="1"/>
    <n v="5"/>
    <n v="2017"/>
    <n v="9.1344405379999998"/>
    <n v="3960"/>
    <n v="19.989999999999998"/>
    <n v="4.3"/>
    <n v="14.8475"/>
    <n v="89.99"/>
    <n v="4.0999999999999996"/>
    <n v="16.098333329999999"/>
    <n v="64.989999999999995"/>
    <n v="3.9"/>
    <n v="14.811875000000001"/>
    <n v="89.94"/>
    <n v="89.990000000000009"/>
    <n v="89.990000000000009"/>
    <n v="10.824999999999999"/>
  </r>
  <r>
    <x v="9"/>
    <x v="3"/>
    <x v="1"/>
    <n v="9"/>
    <n v="809.91"/>
    <n v="14.16333333"/>
    <n v="89.99"/>
    <x v="8"/>
    <n v="492"/>
    <n v="3"/>
    <n v="250"/>
    <n v="4.0999999999999996"/>
    <n v="53"/>
    <n v="22"/>
    <n v="8"/>
    <n v="1"/>
    <n v="6"/>
    <n v="2017"/>
    <n v="8.8344041699999991"/>
    <n v="3960"/>
    <n v="19.989999999999998"/>
    <n v="4.3"/>
    <n v="12.68333333"/>
    <n v="89.99"/>
    <n v="4.0999999999999996"/>
    <n v="14.16333333"/>
    <n v="58.799523809999997"/>
    <n v="3.9"/>
    <n v="13.903333330000001"/>
    <n v="89.99"/>
    <n v="89.99"/>
    <n v="89.990000000000009"/>
    <n v="10.785123966942148"/>
  </r>
  <r>
    <x v="9"/>
    <x v="3"/>
    <x v="2"/>
    <n v="17"/>
    <n v="1529.83"/>
    <n v="12.11882353"/>
    <n v="89.99"/>
    <x v="8"/>
    <n v="492"/>
    <n v="3"/>
    <n v="250"/>
    <n v="4.0999999999999996"/>
    <n v="61"/>
    <n v="21"/>
    <n v="10"/>
    <n v="1"/>
    <n v="7"/>
    <n v="2017"/>
    <n v="10.246696569999999"/>
    <n v="3960"/>
    <n v="19.989999999999998"/>
    <n v="4.3"/>
    <n v="11.135172409999999"/>
    <n v="89.99"/>
    <n v="4.0999999999999996"/>
    <n v="12.11882353"/>
    <n v="59.256666670000001"/>
    <n v="3.9"/>
    <n v="17.998000000000001"/>
    <n v="89.99"/>
    <n v="89.99"/>
    <n v="89.99"/>
    <n v="10.770491803278688"/>
  </r>
  <r>
    <x v="9"/>
    <x v="3"/>
    <x v="3"/>
    <n v="18"/>
    <n v="1619.82"/>
    <n v="13.410555560000001"/>
    <n v="89.99"/>
    <x v="8"/>
    <n v="492"/>
    <n v="3"/>
    <n v="250"/>
    <n v="4.0999999999999996"/>
    <n v="82"/>
    <n v="23"/>
    <n v="8"/>
    <n v="1"/>
    <n v="8"/>
    <n v="2017"/>
    <n v="9.2617286940000003"/>
    <n v="3960"/>
    <n v="23.39740741"/>
    <n v="4.3"/>
    <n v="14.27678571"/>
    <n v="89.99"/>
    <n v="4.0999999999999996"/>
    <n v="13.410555560000001"/>
    <n v="58.99"/>
    <n v="3.9"/>
    <n v="16.240909089999999"/>
    <n v="89.99"/>
    <n v="89.99"/>
    <n v="89.99"/>
    <n v="10.821138211382113"/>
  </r>
  <r>
    <x v="9"/>
    <x v="3"/>
    <x v="4"/>
    <n v="21"/>
    <n v="1889.79"/>
    <n v="13.96428571"/>
    <n v="89.99"/>
    <x v="8"/>
    <n v="492"/>
    <n v="3"/>
    <n v="250"/>
    <n v="4.0999999999999996"/>
    <n v="89"/>
    <n v="21"/>
    <n v="9"/>
    <n v="1"/>
    <n v="9"/>
    <n v="2017"/>
    <n v="14.38356164"/>
    <n v="3960"/>
    <n v="23.99"/>
    <n v="4.3"/>
    <n v="16.12"/>
    <n v="89.99"/>
    <n v="4.0999999999999996"/>
    <n v="13.96428571"/>
    <n v="58.99"/>
    <n v="3.9"/>
    <n v="15.639200000000001"/>
    <n v="89.99"/>
    <n v="89.99"/>
    <n v="89.99"/>
    <n v="10.879032258064516"/>
  </r>
  <r>
    <x v="9"/>
    <x v="3"/>
    <x v="5"/>
    <n v="24"/>
    <n v="2159.7600000000002"/>
    <n v="16.56291667"/>
    <n v="89.99"/>
    <x v="8"/>
    <n v="492"/>
    <n v="3"/>
    <n v="250"/>
    <n v="4.0999999999999996"/>
    <n v="81"/>
    <n v="22"/>
    <n v="9"/>
    <n v="2"/>
    <n v="10"/>
    <n v="2017"/>
    <n v="16.438356160000001"/>
    <n v="3960"/>
    <n v="23.99"/>
    <n v="4.3"/>
    <n v="13.13666667"/>
    <n v="89.99"/>
    <n v="4.0999999999999996"/>
    <n v="16.56291667"/>
    <n v="58.99"/>
    <n v="3.9"/>
    <n v="19.065263160000001"/>
    <n v="89.99"/>
    <n v="89.990000000000009"/>
    <n v="89.99"/>
    <n v="10.96"/>
  </r>
  <r>
    <x v="9"/>
    <x v="3"/>
    <x v="6"/>
    <n v="26"/>
    <n v="2339.7399999999998"/>
    <n v="16.99038462"/>
    <n v="89.99"/>
    <x v="8"/>
    <n v="492"/>
    <n v="3"/>
    <n v="250"/>
    <n v="4.0999999999999996"/>
    <n v="139"/>
    <n v="22"/>
    <n v="8"/>
    <n v="4"/>
    <n v="11"/>
    <n v="2017"/>
    <n v="17.808219179999998"/>
    <n v="3960"/>
    <n v="23.99"/>
    <n v="4.3"/>
    <n v="12.37535714"/>
    <n v="89.99"/>
    <n v="4.0999999999999996"/>
    <n v="16.99038462"/>
    <n v="58.99"/>
    <n v="3.9"/>
    <n v="15.71166667"/>
    <n v="89.99"/>
    <n v="89.99"/>
    <n v="89.990000000000009"/>
    <n v="11.063492063492063"/>
  </r>
  <r>
    <x v="9"/>
    <x v="3"/>
    <x v="7"/>
    <n v="19"/>
    <n v="1709.81"/>
    <n v="15.89473684"/>
    <n v="89.99"/>
    <x v="8"/>
    <n v="492"/>
    <n v="3"/>
    <n v="250"/>
    <n v="4.0999999999999996"/>
    <n v="112"/>
    <n v="21"/>
    <n v="10"/>
    <n v="1"/>
    <n v="12"/>
    <n v="2017"/>
    <n v="13.01369863"/>
    <n v="3960"/>
    <n v="23.99"/>
    <n v="4.3"/>
    <n v="12.45684211"/>
    <n v="89.99"/>
    <n v="4.0999999999999996"/>
    <n v="15.89473684"/>
    <n v="58.99"/>
    <n v="3.9"/>
    <n v="16.332222219999998"/>
    <n v="89.99"/>
    <n v="89.99"/>
    <n v="89.99"/>
    <n v="11.181102362204724"/>
  </r>
  <r>
    <x v="9"/>
    <x v="3"/>
    <x v="8"/>
    <n v="20"/>
    <n v="1799.8"/>
    <n v="14.811"/>
    <n v="89.99"/>
    <x v="8"/>
    <n v="492"/>
    <n v="3"/>
    <n v="250"/>
    <n v="4.0999999999999996"/>
    <n v="98"/>
    <n v="23"/>
    <n v="8"/>
    <n v="2"/>
    <n v="1"/>
    <n v="2018"/>
    <n v="17.699115039999999"/>
    <n v="3960"/>
    <n v="23.99"/>
    <n v="4.3"/>
    <n v="11.28736842"/>
    <n v="89.99"/>
    <n v="4.0999999999999996"/>
    <n v="14.811"/>
    <n v="58.99"/>
    <n v="3.9"/>
    <n v="22.678333330000001"/>
    <n v="89.99"/>
    <n v="89.99"/>
    <n v="89.99"/>
    <n v="11.2421875"/>
  </r>
  <r>
    <x v="9"/>
    <x v="3"/>
    <x v="9"/>
    <n v="17"/>
    <n v="1529.83"/>
    <n v="16.307647060000001"/>
    <n v="89.99"/>
    <x v="8"/>
    <n v="492"/>
    <n v="3"/>
    <n v="250"/>
    <n v="4.0999999999999996"/>
    <n v="126"/>
    <n v="20"/>
    <n v="8"/>
    <n v="2"/>
    <n v="2"/>
    <n v="2018"/>
    <n v="15.04424779"/>
    <n v="3960"/>
    <n v="23.99"/>
    <n v="4.3"/>
    <n v="12.55"/>
    <n v="89.99"/>
    <n v="4.0999999999999996"/>
    <n v="16.307647060000001"/>
    <n v="58.99"/>
    <n v="3.9"/>
    <n v="19.574999999999999"/>
    <n v="89.99"/>
    <n v="89.99"/>
    <n v="89.99"/>
    <n v="11.310077519379846"/>
  </r>
  <r>
    <x v="9"/>
    <x v="3"/>
    <x v="10"/>
    <n v="16"/>
    <n v="1339.84"/>
    <n v="11.876875"/>
    <n v="83.74"/>
    <x v="8"/>
    <n v="492"/>
    <n v="3"/>
    <n v="250"/>
    <n v="4.0999999999999996"/>
    <n v="169"/>
    <n v="22"/>
    <n v="9"/>
    <n v="1"/>
    <n v="3"/>
    <n v="2018"/>
    <n v="9.1344405379999998"/>
    <n v="3960"/>
    <n v="23.99"/>
    <n v="4.3"/>
    <n v="14.19875"/>
    <n v="83.74"/>
    <n v="4.0999999999999996"/>
    <n v="11.876875"/>
    <n v="58.99"/>
    <n v="3.9"/>
    <n v="15.228"/>
    <n v="89.99"/>
    <n v="83.74"/>
    <n v="89.99"/>
    <n v="11.353846153846154"/>
  </r>
  <r>
    <x v="9"/>
    <x v="3"/>
    <x v="11"/>
    <n v="14"/>
    <n v="1119.8599999999999"/>
    <n v="14.484999999999999"/>
    <n v="79.989999999999995"/>
    <x v="8"/>
    <n v="492"/>
    <n v="3"/>
    <n v="250"/>
    <n v="4.0999999999999996"/>
    <n v="118"/>
    <n v="21"/>
    <n v="9"/>
    <n v="1"/>
    <n v="4"/>
    <n v="2018"/>
    <n v="12.38938053"/>
    <n v="3960"/>
    <n v="79.989999999999995"/>
    <n v="4.0999999999999996"/>
    <n v="14.484999999999999"/>
    <n v="79.989999999999995"/>
    <n v="4.0999999999999996"/>
    <n v="14.484999999999999"/>
    <n v="58.99"/>
    <n v="3.9"/>
    <n v="16.302727269999998"/>
    <n v="83.74"/>
    <n v="79.989999999999995"/>
    <n v="83.74"/>
    <n v="11.389312977099237"/>
  </r>
  <r>
    <x v="9"/>
    <x v="3"/>
    <x v="12"/>
    <n v="16"/>
    <n v="1279.8399999999999"/>
    <n v="21.943124999999998"/>
    <n v="79.989999999999995"/>
    <x v="8"/>
    <n v="492"/>
    <n v="3"/>
    <n v="250"/>
    <n v="4.0999999999999996"/>
    <n v="159"/>
    <n v="23"/>
    <n v="8"/>
    <n v="3"/>
    <n v="5"/>
    <n v="2018"/>
    <n v="9.1344405379999998"/>
    <n v="3960"/>
    <n v="23.99"/>
    <n v="4.3"/>
    <n v="7.9885714290000003"/>
    <n v="79.989999999999995"/>
    <n v="4.0999999999999996"/>
    <n v="21.943124999999998"/>
    <n v="58.99"/>
    <n v="3.9"/>
    <n v="9.4224999999999994"/>
    <n v="79.989999999999995"/>
    <n v="79.989999999999995"/>
    <n v="79.989999999999995"/>
    <n v="11.409090909090908"/>
  </r>
  <r>
    <x v="9"/>
    <x v="3"/>
    <x v="13"/>
    <n v="13"/>
    <n v="1039.8699999999999"/>
    <n v="13.36230769"/>
    <n v="79.989999999999995"/>
    <x v="8"/>
    <n v="492"/>
    <n v="3"/>
    <n v="250"/>
    <n v="4.0999999999999996"/>
    <n v="131"/>
    <n v="21"/>
    <n v="9"/>
    <n v="0"/>
    <n v="6"/>
    <n v="2018"/>
    <n v="8.8344041699999991"/>
    <n v="3960"/>
    <n v="23.99"/>
    <n v="4.3"/>
    <n v="16.27"/>
    <n v="79.989999999999995"/>
    <n v="4.0999999999999996"/>
    <n v="13.36230769"/>
    <n v="58.99"/>
    <n v="3.9"/>
    <n v="16.43"/>
    <n v="79.989999999999995"/>
    <n v="79.989999999999995"/>
    <n v="79.989999999999995"/>
    <n v="11.443609022556391"/>
  </r>
  <r>
    <x v="9"/>
    <x v="3"/>
    <x v="14"/>
    <n v="10"/>
    <n v="799.9"/>
    <n v="16.745000000000001"/>
    <n v="79.989999999999995"/>
    <x v="8"/>
    <n v="492"/>
    <n v="3"/>
    <n v="250"/>
    <n v="4.0999999999999996"/>
    <n v="113"/>
    <n v="22"/>
    <n v="9"/>
    <n v="1"/>
    <n v="7"/>
    <n v="2018"/>
    <n v="10.246696569999999"/>
    <n v="3960"/>
    <n v="23.99"/>
    <n v="4.3"/>
    <n v="18.809999999999999"/>
    <n v="79.989999999999995"/>
    <n v="4.0999999999999996"/>
    <n v="16.745000000000001"/>
    <n v="58.99"/>
    <n v="3.9"/>
    <n v="7.67"/>
    <n v="79.989999999999995"/>
    <n v="79.989999999999995"/>
    <n v="79.989999999999995"/>
    <n v="11.455223880597014"/>
  </r>
  <r>
    <x v="9"/>
    <x v="3"/>
    <x v="15"/>
    <n v="7"/>
    <n v="579.75"/>
    <n v="12.41857143"/>
    <n v="82.821428569999995"/>
    <x v="8"/>
    <n v="492"/>
    <n v="3"/>
    <n v="250"/>
    <n v="4.0999999999999996"/>
    <n v="127"/>
    <n v="23"/>
    <n v="8"/>
    <n v="1"/>
    <n v="8"/>
    <n v="2018"/>
    <n v="9.2617286940000003"/>
    <n v="3960"/>
    <n v="23.99"/>
    <n v="4.3"/>
    <n v="16.77"/>
    <n v="82.821428569999995"/>
    <n v="4.0999999999999996"/>
    <n v="12.41857143"/>
    <n v="58.99"/>
    <n v="3.9"/>
    <n v="12.08333333"/>
    <n v="79.989999999999995"/>
    <n v="82.821428571428569"/>
    <n v="79.989999999999995"/>
    <n v="11.444444444444445"/>
  </r>
  <r>
    <x v="10"/>
    <x v="1"/>
    <x v="2"/>
    <n v="13"/>
    <n v="778.7"/>
    <n v="15.392307690000001"/>
    <n v="59.9"/>
    <x v="3"/>
    <n v="366"/>
    <n v="2"/>
    <n v="1650"/>
    <n v="4.0999999999999996"/>
    <n v="74"/>
    <n v="21"/>
    <n v="10"/>
    <n v="1"/>
    <n v="7"/>
    <n v="2017"/>
    <n v="4.0723019669999996"/>
    <n v="19800"/>
    <n v="59.9"/>
    <n v="4.0999999999999996"/>
    <n v="16.626428570000002"/>
    <n v="59.9"/>
    <n v="4.2"/>
    <n v="16.111578949999998"/>
    <n v="59.9"/>
    <n v="4.0999999999999996"/>
    <n v="15.392307690000001"/>
    <n v="59.85"/>
    <n v="59.900000000000006"/>
    <s v=""/>
    <n v="11.411764705882353"/>
  </r>
  <r>
    <x v="10"/>
    <x v="1"/>
    <x v="3"/>
    <n v="23"/>
    <n v="1377.7"/>
    <n v="18.05043478"/>
    <n v="59.9"/>
    <x v="3"/>
    <n v="366"/>
    <n v="2"/>
    <n v="1650"/>
    <n v="4.0999999999999996"/>
    <n v="113"/>
    <n v="23"/>
    <n v="8"/>
    <n v="1"/>
    <n v="8"/>
    <n v="2017"/>
    <n v="7.3870281770000004"/>
    <n v="19800"/>
    <n v="59.9"/>
    <n v="4.0999999999999996"/>
    <n v="18.162307689999999"/>
    <n v="59.9"/>
    <n v="4.2"/>
    <n v="17.68111111"/>
    <n v="59.9"/>
    <n v="4.0999999999999996"/>
    <n v="18.05043478"/>
    <n v="59.9"/>
    <n v="59.9"/>
    <n v="59.900000000000006"/>
    <n v="11.423357664233576"/>
  </r>
  <r>
    <x v="10"/>
    <x v="1"/>
    <x v="4"/>
    <n v="13"/>
    <n v="778.7"/>
    <n v="16.29461538"/>
    <n v="59.9"/>
    <x v="3"/>
    <n v="366"/>
    <n v="2"/>
    <n v="1650"/>
    <n v="4.0999999999999996"/>
    <n v="115"/>
    <n v="21"/>
    <n v="9"/>
    <n v="1"/>
    <n v="9"/>
    <n v="2017"/>
    <n v="6.5656565660000004"/>
    <n v="19800"/>
    <n v="59.9"/>
    <n v="4.0999999999999996"/>
    <n v="17.187027029999999"/>
    <n v="59.9"/>
    <n v="4.2"/>
    <n v="16.811764709999999"/>
    <n v="59.9"/>
    <n v="4.0999999999999996"/>
    <n v="16.29461538"/>
    <n v="59.9"/>
    <n v="59.900000000000006"/>
    <n v="59.9"/>
    <n v="11.507246376811594"/>
  </r>
  <r>
    <x v="10"/>
    <x v="1"/>
    <x v="5"/>
    <n v="36"/>
    <n v="2156.4"/>
    <n v="16.814166669999999"/>
    <n v="59.9"/>
    <x v="3"/>
    <n v="366"/>
    <n v="2"/>
    <n v="1650"/>
    <n v="4.0999999999999996"/>
    <n v="146"/>
    <n v="22"/>
    <n v="9"/>
    <n v="2"/>
    <n v="10"/>
    <n v="2017"/>
    <n v="18.18181818"/>
    <n v="19800"/>
    <n v="59.9"/>
    <n v="4.0999999999999996"/>
    <n v="18.065897440000001"/>
    <n v="59.9"/>
    <n v="4.2"/>
    <n v="17.595483869999999"/>
    <n v="59.9"/>
    <n v="4.0999999999999996"/>
    <n v="16.814166669999999"/>
    <n v="59.9"/>
    <n v="59.900000000000006"/>
    <n v="59.900000000000006"/>
    <n v="11.517985611510792"/>
  </r>
  <r>
    <x v="10"/>
    <x v="1"/>
    <x v="6"/>
    <n v="69"/>
    <n v="3711.7"/>
    <n v="18.27550725"/>
    <n v="53.785714290000001"/>
    <x v="3"/>
    <n v="366"/>
    <n v="2"/>
    <n v="1650"/>
    <n v="4.0999999999999996"/>
    <n v="339"/>
    <n v="22"/>
    <n v="8"/>
    <n v="4"/>
    <n v="11"/>
    <n v="2017"/>
    <n v="34.848484849999998"/>
    <n v="19800"/>
    <n v="52.406944439999997"/>
    <n v="4.0999999999999996"/>
    <n v="17.06747253"/>
    <n v="53.648281249999997"/>
    <n v="4.2"/>
    <n v="16.075862069999999"/>
    <n v="53.785714290000001"/>
    <n v="4.0999999999999996"/>
    <n v="18.27550725"/>
    <n v="59.9"/>
    <n v="53.792753623188403"/>
    <n v="59.900000000000006"/>
    <n v="11.692857142857143"/>
  </r>
  <r>
    <x v="10"/>
    <x v="1"/>
    <x v="7"/>
    <n v="44"/>
    <n v="2468.6"/>
    <n v="17.267272729999998"/>
    <n v="55.75"/>
    <x v="3"/>
    <n v="366"/>
    <n v="2"/>
    <n v="1650"/>
    <n v="4.0999999999999996"/>
    <n v="184"/>
    <n v="21"/>
    <n v="10"/>
    <n v="1"/>
    <n v="12"/>
    <n v="2017"/>
    <n v="22.222222219999999"/>
    <n v="19800"/>
    <n v="55.1"/>
    <n v="4.0999999999999996"/>
    <n v="15.759607839999999"/>
    <n v="55.424999999999997"/>
    <n v="4.2"/>
    <n v="19.184374999999999"/>
    <n v="55.75"/>
    <n v="4.0999999999999996"/>
    <n v="17.267272729999998"/>
    <n v="53.785714290000001"/>
    <n v="56.104545454545452"/>
    <n v="53.792753623188403"/>
    <n v="12.099290780141844"/>
  </r>
  <r>
    <x v="10"/>
    <x v="1"/>
    <x v="8"/>
    <n v="39"/>
    <n v="1946.1"/>
    <n v="16.505128209999999"/>
    <n v="49.9"/>
    <x v="3"/>
    <n v="366"/>
    <n v="2"/>
    <n v="1650"/>
    <n v="4.0999999999999996"/>
    <n v="137"/>
    <n v="23"/>
    <n v="8"/>
    <n v="2"/>
    <n v="1"/>
    <n v="2018"/>
    <n v="20.526315790000002"/>
    <n v="19800"/>
    <n v="49.9"/>
    <n v="4.0999999999999996"/>
    <n v="19.495000000000001"/>
    <n v="49.9"/>
    <n v="4.2"/>
    <n v="15.841034479999999"/>
    <n v="49.9"/>
    <n v="4.0999999999999996"/>
    <n v="16.505128209999999"/>
    <n v="55.75"/>
    <n v="49.9"/>
    <n v="56.104545454545452"/>
    <n v="12.32394366197183"/>
  </r>
  <r>
    <x v="10"/>
    <x v="1"/>
    <x v="9"/>
    <n v="48"/>
    <n v="2411.1999999999998"/>
    <n v="18.281874999999999"/>
    <n v="50.357142860000003"/>
    <x v="3"/>
    <n v="366"/>
    <n v="2"/>
    <n v="1650"/>
    <n v="4.0999999999999996"/>
    <n v="160"/>
    <n v="20"/>
    <n v="8"/>
    <n v="2"/>
    <n v="2"/>
    <n v="2018"/>
    <n v="25.263157889999999"/>
    <n v="19800"/>
    <n v="50.545161290000003"/>
    <n v="4.0999999999999996"/>
    <n v="16.611538459999998"/>
    <n v="50.9"/>
    <n v="4.2"/>
    <n v="17.519444440000001"/>
    <n v="50.357142860000003"/>
    <n v="4.0999999999999996"/>
    <n v="18.281874999999999"/>
    <n v="49.9"/>
    <n v="50.233333333333327"/>
    <n v="49.9"/>
    <n v="12.51048951048951"/>
  </r>
  <r>
    <x v="10"/>
    <x v="1"/>
    <x v="10"/>
    <n v="26"/>
    <n v="1401.4"/>
    <n v="19.024230769999999"/>
    <n v="53.9"/>
    <x v="3"/>
    <n v="366"/>
    <n v="2"/>
    <n v="1650"/>
    <n v="4.0999999999999996"/>
    <n v="116"/>
    <n v="22"/>
    <n v="9"/>
    <n v="1"/>
    <n v="3"/>
    <n v="2018"/>
    <n v="13.68421053"/>
    <n v="19800"/>
    <n v="53.9"/>
    <n v="4.0999999999999996"/>
    <n v="20.359677420000001"/>
    <n v="53.9"/>
    <n v="4.2"/>
    <n v="21.852857140000001"/>
    <n v="53.9"/>
    <n v="4.0999999999999996"/>
    <n v="19.024230769999999"/>
    <n v="50.357142860000003"/>
    <n v="53.900000000000006"/>
    <n v="50.233333333333327"/>
    <n v="12.756944444444445"/>
  </r>
  <r>
    <x v="10"/>
    <x v="1"/>
    <x v="11"/>
    <n v="28"/>
    <n v="1509.2"/>
    <n v="19.071428569999998"/>
    <n v="53.9"/>
    <x v="3"/>
    <n v="366"/>
    <n v="2"/>
    <n v="1650"/>
    <n v="4.0999999999999996"/>
    <n v="111"/>
    <n v="21"/>
    <n v="9"/>
    <n v="1"/>
    <n v="4"/>
    <n v="2018"/>
    <n v="14.73684211"/>
    <n v="19800"/>
    <n v="53.9"/>
    <n v="4.0999999999999996"/>
    <n v="5.2817391300000001"/>
    <n v="53.9"/>
    <n v="4.2"/>
    <n v="19.46846154"/>
    <n v="53.9"/>
    <n v="4.0999999999999996"/>
    <n v="19.071428569999998"/>
    <n v="53.9"/>
    <n v="53.9"/>
    <n v="53.900000000000006"/>
    <n v="12.848275862068965"/>
  </r>
  <r>
    <x v="10"/>
    <x v="1"/>
    <x v="12"/>
    <n v="25"/>
    <n v="1319.5"/>
    <n v="12.98"/>
    <n v="53.057894740000002"/>
    <x v="3"/>
    <n v="366"/>
    <n v="2"/>
    <n v="1650"/>
    <n v="4.0999999999999996"/>
    <n v="102"/>
    <n v="23"/>
    <n v="8"/>
    <n v="3"/>
    <n v="5"/>
    <n v="2018"/>
    <n v="13.15789474"/>
    <n v="19800"/>
    <n v="53.415151520000002"/>
    <n v="4.0999999999999996"/>
    <n v="10.753035710000001"/>
    <n v="53.70952381"/>
    <n v="4.2"/>
    <n v="13.510344829999999"/>
    <n v="53.057894740000002"/>
    <n v="4.0999999999999996"/>
    <n v="12.98"/>
    <n v="53.9"/>
    <n v="52.78"/>
    <n v="53.9"/>
    <n v="12.952054794520548"/>
  </r>
  <r>
    <x v="10"/>
    <x v="1"/>
    <x v="13"/>
    <n v="15"/>
    <n v="748.5"/>
    <n v="22.878666670000001"/>
    <n v="49.9"/>
    <x v="3"/>
    <n v="366"/>
    <n v="2"/>
    <n v="1650"/>
    <n v="4.0999999999999996"/>
    <n v="58"/>
    <n v="21"/>
    <n v="9"/>
    <n v="0"/>
    <n v="6"/>
    <n v="2018"/>
    <n v="7.8947368420000004"/>
    <n v="19800"/>
    <n v="49.9"/>
    <n v="4.0999999999999996"/>
    <n v="19.89083333"/>
    <n v="49.9"/>
    <n v="4.2"/>
    <n v="23.251666669999999"/>
    <n v="49.9"/>
    <n v="4.0999999999999996"/>
    <n v="22.878666670000001"/>
    <n v="53.057894740000002"/>
    <n v="49.9"/>
    <n v="52.78"/>
    <n v="13.034013605442176"/>
  </r>
  <r>
    <x v="10"/>
    <x v="1"/>
    <x v="14"/>
    <n v="3"/>
    <n v="149.69999999999999"/>
    <n v="20.99"/>
    <n v="49.9"/>
    <x v="3"/>
    <n v="366"/>
    <n v="2"/>
    <n v="1650"/>
    <n v="4.0999999999999996"/>
    <n v="54"/>
    <n v="22"/>
    <n v="9"/>
    <n v="1"/>
    <n v="7"/>
    <n v="2018"/>
    <n v="4.0723019669999996"/>
    <n v="19800"/>
    <n v="49.91"/>
    <n v="4.0999999999999996"/>
    <n v="28.373333330000001"/>
    <n v="49.9"/>
    <n v="4.2"/>
    <n v="33.281428570000003"/>
    <n v="49.9"/>
    <n v="4.0999999999999996"/>
    <n v="20.99"/>
    <n v="49.9"/>
    <n v="49.9"/>
    <n v="49.9"/>
    <n v="13.047297297297296"/>
  </r>
  <r>
    <x v="10"/>
    <x v="1"/>
    <x v="15"/>
    <n v="6"/>
    <n v="299.39999999999998"/>
    <n v="32.32"/>
    <n v="49.9"/>
    <x v="3"/>
    <n v="366"/>
    <n v="2"/>
    <n v="1650"/>
    <n v="4.0999999999999996"/>
    <n v="46"/>
    <n v="23"/>
    <n v="8"/>
    <n v="1"/>
    <n v="8"/>
    <n v="2018"/>
    <n v="7.3870281770000004"/>
    <n v="19800"/>
    <n v="49.91"/>
    <n v="4.0999999999999996"/>
    <n v="20.32833333"/>
    <n v="49.9"/>
    <n v="4.2"/>
    <n v="36.442"/>
    <n v="49.9"/>
    <n v="4.0999999999999996"/>
    <n v="32.32"/>
    <n v="49.9"/>
    <n v="49.9"/>
    <n v="49.9"/>
    <n v="12.979865771812081"/>
  </r>
  <r>
    <x v="11"/>
    <x v="6"/>
    <x v="5"/>
    <n v="1"/>
    <n v="167"/>
    <n v="14.92"/>
    <n v="167"/>
    <x v="9"/>
    <n v="300"/>
    <n v="1"/>
    <n v="207"/>
    <n v="3.5"/>
    <n v="31"/>
    <n v="22"/>
    <n v="9"/>
    <n v="2"/>
    <n v="10"/>
    <n v="2017"/>
    <n v="33.333333330000002"/>
    <n v="2926"/>
    <n v="154.69588239999999"/>
    <n v="4.2"/>
    <n v="43.88117647"/>
    <n v="167"/>
    <n v="3.5"/>
    <n v="14.92"/>
    <n v="167"/>
    <n v="3.5"/>
    <n v="14.92"/>
    <n v="166.95"/>
    <n v="167"/>
    <s v=""/>
    <n v="12.933333333333334"/>
  </r>
  <r>
    <x v="11"/>
    <x v="6"/>
    <x v="7"/>
    <n v="2"/>
    <n v="239.8"/>
    <n v="13.44"/>
    <n v="119.9"/>
    <x v="9"/>
    <n v="300"/>
    <n v="1"/>
    <n v="207"/>
    <n v="3.5"/>
    <n v="35"/>
    <n v="21"/>
    <n v="10"/>
    <n v="1"/>
    <n v="12"/>
    <n v="2017"/>
    <n v="66.666666669999998"/>
    <n v="2926"/>
    <n v="149.99"/>
    <n v="4.2"/>
    <n v="38.57"/>
    <n v="119.9"/>
    <n v="3.5"/>
    <n v="13.44"/>
    <n v="109.9"/>
    <n v="3.5"/>
    <n v="25.249166670000001"/>
    <n v="119.85"/>
    <n v="119.9"/>
    <n v="167"/>
    <n v="12.85430463576159"/>
  </r>
  <r>
    <x v="11"/>
    <x v="6"/>
    <x v="8"/>
    <n v="57"/>
    <n v="5453.96"/>
    <n v="12.23912281"/>
    <n v="93.094893619999993"/>
    <x v="9"/>
    <n v="300"/>
    <n v="1"/>
    <n v="207"/>
    <n v="3.5"/>
    <n v="152"/>
    <n v="23"/>
    <n v="8"/>
    <n v="2"/>
    <n v="1"/>
    <n v="2018"/>
    <n v="45.967741940000003"/>
    <n v="2926"/>
    <n v="156.5113514"/>
    <n v="4.2"/>
    <n v="36.807209299999997"/>
    <n v="150.3545455"/>
    <n v="4.3"/>
    <n v="22.547727269999999"/>
    <n v="97.642499999999998"/>
    <n v="3.5"/>
    <n v="14.846551720000001"/>
    <n v="119.9"/>
    <n v="95.683508771929823"/>
    <n v="119.9"/>
    <n v="12.782894736842104"/>
  </r>
  <r>
    <x v="11"/>
    <x v="6"/>
    <x v="9"/>
    <n v="45"/>
    <n v="3465.8"/>
    <n v="11.513111110000001"/>
    <n v="77.155000000000001"/>
    <x v="9"/>
    <n v="300"/>
    <n v="1"/>
    <n v="207"/>
    <n v="3.5"/>
    <n v="202"/>
    <n v="20"/>
    <n v="8"/>
    <n v="2"/>
    <n v="2"/>
    <n v="2018"/>
    <n v="36.290322580000002"/>
    <n v="2926"/>
    <n v="149"/>
    <n v="4.2"/>
    <n v="41.16322581"/>
    <n v="149.9"/>
    <n v="4.3"/>
    <n v="26.552898549999998"/>
    <n v="78.712280699999994"/>
    <n v="3.5"/>
    <n v="14.535915490000001"/>
    <n v="93.094893619999993"/>
    <n v="77.017777777777781"/>
    <n v="95.683508771929823"/>
    <n v="13.071895424836601"/>
  </r>
  <r>
    <x v="11"/>
    <x v="6"/>
    <x v="10"/>
    <n v="6"/>
    <n v="528"/>
    <n v="17.553333330000001"/>
    <n v="88"/>
    <x v="9"/>
    <n v="300"/>
    <n v="1"/>
    <n v="207"/>
    <n v="3.5"/>
    <n v="127"/>
    <n v="22"/>
    <n v="9"/>
    <n v="1"/>
    <n v="3"/>
    <n v="2018"/>
    <n v="4.8387096769999998"/>
    <n v="2926"/>
    <n v="136.14285709999999"/>
    <n v="4.2"/>
    <n v="48.047499999999999"/>
    <n v="149.9"/>
    <n v="4.3"/>
    <n v="28.475882349999999"/>
    <n v="81.023913039999996"/>
    <n v="3.5"/>
    <n v="18.221481480000001"/>
    <n v="77.155000000000001"/>
    <n v="88"/>
    <n v="77.017777777777781"/>
    <n v="13.279220779220779"/>
  </r>
  <r>
    <x v="11"/>
    <x v="6"/>
    <x v="11"/>
    <n v="10"/>
    <n v="880"/>
    <n v="10.869"/>
    <n v="88"/>
    <x v="9"/>
    <n v="300"/>
    <n v="1"/>
    <n v="207"/>
    <n v="3.5"/>
    <n v="107"/>
    <n v="21"/>
    <n v="9"/>
    <n v="1"/>
    <n v="4"/>
    <n v="2018"/>
    <n v="8.0645161289999994"/>
    <n v="2926"/>
    <n v="120.9230769"/>
    <n v="4.2"/>
    <n v="27.253035709999999"/>
    <n v="149.9"/>
    <n v="4.3"/>
    <n v="30.227428570000001"/>
    <n v="80.666666669999998"/>
    <n v="3.5"/>
    <n v="18.17230769"/>
    <n v="88"/>
    <n v="88"/>
    <n v="88"/>
    <n v="13.232258064516129"/>
  </r>
  <r>
    <x v="11"/>
    <x v="6"/>
    <x v="13"/>
    <n v="3"/>
    <n v="269.7"/>
    <n v="21.826666670000002"/>
    <n v="89.9"/>
    <x v="9"/>
    <n v="300"/>
    <n v="1"/>
    <n v="207"/>
    <n v="3.5"/>
    <n v="66"/>
    <n v="21"/>
    <n v="9"/>
    <n v="0"/>
    <n v="6"/>
    <n v="2018"/>
    <n v="2.4193548389999999"/>
    <n v="2926"/>
    <n v="114.49115380000001"/>
    <n v="4.2"/>
    <n v="53.625555560000002"/>
    <n v="149.9"/>
    <n v="4.3"/>
    <n v="27.626666669999999"/>
    <n v="78.900000000000006"/>
    <n v="3.5"/>
    <n v="17.327999999999999"/>
    <n v="89.85"/>
    <n v="89.899999999999991"/>
    <n v="88"/>
    <n v="13.211538461538462"/>
  </r>
  <r>
    <x v="11"/>
    <x v="6"/>
    <x v="14"/>
    <n v="3"/>
    <n v="236.7"/>
    <n v="13.41333333"/>
    <n v="78.900000000000006"/>
    <x v="9"/>
    <n v="300"/>
    <n v="1"/>
    <n v="207"/>
    <n v="3.5"/>
    <n v="43"/>
    <n v="22"/>
    <n v="9"/>
    <n v="1"/>
    <n v="7"/>
    <n v="2018"/>
    <n v="2.4193548389999999"/>
    <n v="2926"/>
    <n v="119.99"/>
    <n v="4.2"/>
    <n v="48.626666669999999"/>
    <n v="149.9"/>
    <n v="4.3"/>
    <n v="33.571538459999999"/>
    <n v="77.900000000000006"/>
    <n v="3.5"/>
    <n v="14.638571430000001"/>
    <n v="89.9"/>
    <n v="78.899999999999991"/>
    <n v="89.899999999999991"/>
    <n v="13.146496815286625"/>
  </r>
  <r>
    <x v="12"/>
    <x v="1"/>
    <x v="0"/>
    <n v="3"/>
    <n v="179.7"/>
    <n v="26.24666667"/>
    <n v="59.9"/>
    <x v="8"/>
    <n v="341"/>
    <n v="2"/>
    <n v="1750"/>
    <n v="4.2"/>
    <n v="34"/>
    <n v="23"/>
    <n v="8"/>
    <n v="1"/>
    <n v="5"/>
    <n v="2017"/>
    <n v="9.1151640650000001"/>
    <n v="32560"/>
    <n v="59.9"/>
    <n v="4.0999999999999996"/>
    <n v="19.732500000000002"/>
    <n v="59.9"/>
    <n v="4.2"/>
    <n v="26.24666667"/>
    <n v="59.9"/>
    <n v="4.2"/>
    <n v="26.24666667"/>
    <n v="59.85"/>
    <n v="59.9"/>
    <s v=""/>
    <n v="13.082278481012658"/>
  </r>
  <r>
    <x v="12"/>
    <x v="1"/>
    <x v="1"/>
    <n v="3"/>
    <n v="179.7"/>
    <n v="16.260000000000002"/>
    <n v="59.9"/>
    <x v="8"/>
    <n v="341"/>
    <n v="2"/>
    <n v="1750"/>
    <n v="4.2"/>
    <n v="26"/>
    <n v="22"/>
    <n v="8"/>
    <n v="1"/>
    <n v="6"/>
    <n v="2017"/>
    <n v="2.4291175530000002"/>
    <n v="32560"/>
    <n v="59.9"/>
    <n v="4.0999999999999996"/>
    <n v="17.670000000000002"/>
    <n v="59.9"/>
    <n v="4.2"/>
    <n v="16.260000000000002"/>
    <n v="59.9"/>
    <n v="4.2"/>
    <n v="16.260000000000002"/>
    <n v="59.9"/>
    <n v="59.9"/>
    <n v="59.9"/>
    <n v="13.018867924528301"/>
  </r>
  <r>
    <x v="12"/>
    <x v="1"/>
    <x v="2"/>
    <n v="19"/>
    <n v="1138.0999999999999"/>
    <n v="16.111578949999998"/>
    <n v="59.9"/>
    <x v="8"/>
    <n v="341"/>
    <n v="2"/>
    <n v="1750"/>
    <n v="4.2"/>
    <n v="74"/>
    <n v="21"/>
    <n v="10"/>
    <n v="1"/>
    <n v="7"/>
    <n v="2017"/>
    <n v="8.4076669850000005"/>
    <n v="32560"/>
    <n v="59.9"/>
    <n v="4.0999999999999996"/>
    <n v="16.626428570000002"/>
    <n v="59.9"/>
    <n v="4.2"/>
    <n v="16.111578949999998"/>
    <n v="59.9"/>
    <n v="4.0999999999999996"/>
    <n v="15.392307690000001"/>
    <n v="59.9"/>
    <n v="59.9"/>
    <n v="59.9"/>
    <n v="12.956250000000001"/>
  </r>
  <r>
    <x v="12"/>
    <x v="1"/>
    <x v="3"/>
    <n v="27"/>
    <n v="1617.3"/>
    <n v="17.68111111"/>
    <n v="59.9"/>
    <x v="8"/>
    <n v="341"/>
    <n v="2"/>
    <n v="1750"/>
    <n v="4.2"/>
    <n v="113"/>
    <n v="23"/>
    <n v="8"/>
    <n v="1"/>
    <n v="8"/>
    <n v="2017"/>
    <n v="9.0713603060000008"/>
    <n v="32560"/>
    <n v="59.9"/>
    <n v="4.0999999999999996"/>
    <n v="18.162307689999999"/>
    <n v="59.9"/>
    <n v="4.2"/>
    <n v="17.68111111"/>
    <n v="59.9"/>
    <n v="4.0999999999999996"/>
    <n v="18.05043478"/>
    <n v="59.9"/>
    <n v="59.9"/>
    <n v="59.9"/>
    <n v="12.993788819875776"/>
  </r>
  <r>
    <x v="12"/>
    <x v="1"/>
    <x v="4"/>
    <n v="17"/>
    <n v="1018.3"/>
    <n v="16.811764709999999"/>
    <n v="59.9"/>
    <x v="8"/>
    <n v="341"/>
    <n v="2"/>
    <n v="1750"/>
    <n v="4.2"/>
    <n v="115"/>
    <n v="21"/>
    <n v="9"/>
    <n v="1"/>
    <n v="9"/>
    <n v="2017"/>
    <n v="7.7625570780000004"/>
    <n v="32560"/>
    <n v="59.9"/>
    <n v="4.0999999999999996"/>
    <n v="17.187027029999999"/>
    <n v="59.9"/>
    <n v="4.2"/>
    <n v="16.811764709999999"/>
    <n v="59.9"/>
    <n v="4.0999999999999996"/>
    <n v="16.29461538"/>
    <n v="59.9"/>
    <n v="59.9"/>
    <n v="59.9"/>
    <n v="13.080246913580247"/>
  </r>
  <r>
    <x v="12"/>
    <x v="1"/>
    <x v="5"/>
    <n v="31"/>
    <n v="1856.9"/>
    <n v="17.595483869999999"/>
    <n v="59.9"/>
    <x v="8"/>
    <n v="341"/>
    <n v="2"/>
    <n v="1750"/>
    <n v="4.2"/>
    <n v="146"/>
    <n v="22"/>
    <n v="9"/>
    <n v="2"/>
    <n v="10"/>
    <n v="2017"/>
    <n v="14.155251140000001"/>
    <n v="32560"/>
    <n v="59.9"/>
    <n v="4.0999999999999996"/>
    <n v="18.065897440000001"/>
    <n v="59.9"/>
    <n v="4.2"/>
    <n v="17.595483869999999"/>
    <n v="59.9"/>
    <n v="4.0999999999999996"/>
    <n v="16.814166669999999"/>
    <n v="59.9"/>
    <n v="59.900000000000006"/>
    <n v="59.9"/>
    <n v="13.104294478527608"/>
  </r>
  <r>
    <x v="12"/>
    <x v="1"/>
    <x v="6"/>
    <n v="87"/>
    <n v="4712.1899999999996"/>
    <n v="16.075862069999999"/>
    <n v="53.648281249999997"/>
    <x v="8"/>
    <n v="341"/>
    <n v="2"/>
    <n v="1750"/>
    <n v="4.2"/>
    <n v="339"/>
    <n v="22"/>
    <n v="8"/>
    <n v="4"/>
    <n v="11"/>
    <n v="2017"/>
    <n v="39.7260274"/>
    <n v="32560"/>
    <n v="52.406944439999997"/>
    <n v="4.0999999999999996"/>
    <n v="17.06747253"/>
    <n v="53.648281249999997"/>
    <n v="4.2"/>
    <n v="16.075862069999999"/>
    <n v="53.785714290000001"/>
    <n v="4.0999999999999996"/>
    <n v="18.27550725"/>
    <n v="59.9"/>
    <n v="54.163103448275855"/>
    <n v="59.900000000000006"/>
    <n v="13.213414634146341"/>
  </r>
  <r>
    <x v="12"/>
    <x v="1"/>
    <x v="7"/>
    <n v="32"/>
    <n v="1769.7"/>
    <n v="19.184374999999999"/>
    <n v="55.424999999999997"/>
    <x v="8"/>
    <n v="341"/>
    <n v="2"/>
    <n v="1750"/>
    <n v="4.2"/>
    <n v="184"/>
    <n v="21"/>
    <n v="10"/>
    <n v="1"/>
    <n v="12"/>
    <n v="2017"/>
    <n v="14.61187215"/>
    <n v="32560"/>
    <n v="55.1"/>
    <n v="4.0999999999999996"/>
    <n v="15.759607839999999"/>
    <n v="55.424999999999997"/>
    <n v="4.2"/>
    <n v="19.184374999999999"/>
    <n v="55.75"/>
    <n v="4.0999999999999996"/>
    <n v="17.267272729999998"/>
    <n v="53.648281249999997"/>
    <n v="55.303125000000001"/>
    <n v="54.163103448275855"/>
    <n v="13.66060606060606"/>
  </r>
  <r>
    <x v="12"/>
    <x v="1"/>
    <x v="8"/>
    <n v="29"/>
    <n v="1447.1"/>
    <n v="15.841034479999999"/>
    <n v="49.9"/>
    <x v="8"/>
    <n v="341"/>
    <n v="2"/>
    <n v="1750"/>
    <n v="4.2"/>
    <n v="137"/>
    <n v="23"/>
    <n v="8"/>
    <n v="2"/>
    <n v="1"/>
    <n v="2018"/>
    <n v="16.860465120000001"/>
    <n v="32560"/>
    <n v="49.9"/>
    <n v="4.0999999999999996"/>
    <n v="19.495000000000001"/>
    <n v="49.9"/>
    <n v="4.2"/>
    <n v="15.841034479999999"/>
    <n v="49.9"/>
    <n v="4.0999999999999996"/>
    <n v="16.505128209999999"/>
    <n v="55.424999999999997"/>
    <n v="49.9"/>
    <n v="55.303125000000001"/>
    <n v="13.771084337349398"/>
  </r>
  <r>
    <x v="12"/>
    <x v="1"/>
    <x v="9"/>
    <n v="36"/>
    <n v="1828.4"/>
    <n v="17.519444440000001"/>
    <n v="50.9"/>
    <x v="8"/>
    <n v="341"/>
    <n v="2"/>
    <n v="1750"/>
    <n v="4.2"/>
    <n v="160"/>
    <n v="20"/>
    <n v="8"/>
    <n v="2"/>
    <n v="2"/>
    <n v="2018"/>
    <n v="20.93023256"/>
    <n v="32560"/>
    <n v="50.545161290000003"/>
    <n v="4.0999999999999996"/>
    <n v="16.611538459999998"/>
    <n v="50.9"/>
    <n v="4.2"/>
    <n v="17.519444440000001"/>
    <n v="50.357142860000003"/>
    <n v="4.0999999999999996"/>
    <n v="18.281874999999999"/>
    <n v="49.9"/>
    <n v="50.788888888888891"/>
    <n v="49.9"/>
    <n v="13.862275449101796"/>
  </r>
  <r>
    <x v="12"/>
    <x v="1"/>
    <x v="10"/>
    <n v="35"/>
    <n v="1886.5"/>
    <n v="21.852857140000001"/>
    <n v="53.9"/>
    <x v="8"/>
    <n v="341"/>
    <n v="2"/>
    <n v="1750"/>
    <n v="4.2"/>
    <n v="116"/>
    <n v="22"/>
    <n v="9"/>
    <n v="1"/>
    <n v="3"/>
    <n v="2018"/>
    <n v="20.348837209999999"/>
    <n v="32560"/>
    <n v="53.9"/>
    <n v="4.0999999999999996"/>
    <n v="20.359677420000001"/>
    <n v="53.9"/>
    <n v="4.2"/>
    <n v="21.852857140000001"/>
    <n v="53.9"/>
    <n v="4.0999999999999996"/>
    <n v="19.024230769999999"/>
    <n v="50.9"/>
    <n v="53.9"/>
    <n v="50.788888888888891"/>
    <n v="13.994047619047619"/>
  </r>
  <r>
    <x v="12"/>
    <x v="1"/>
    <x v="11"/>
    <n v="13"/>
    <n v="700.7"/>
    <n v="19.46846154"/>
    <n v="53.9"/>
    <x v="8"/>
    <n v="341"/>
    <n v="2"/>
    <n v="1750"/>
    <n v="4.2"/>
    <n v="111"/>
    <n v="21"/>
    <n v="9"/>
    <n v="1"/>
    <n v="4"/>
    <n v="2018"/>
    <n v="7.5581395349999996"/>
    <n v="32560"/>
    <n v="53.9"/>
    <n v="4.0999999999999996"/>
    <n v="5.2817391300000001"/>
    <n v="53.9"/>
    <n v="4.2"/>
    <n v="19.46846154"/>
    <n v="53.9"/>
    <n v="4.0999999999999996"/>
    <n v="19.071428569999998"/>
    <n v="53.9"/>
    <n v="53.900000000000006"/>
    <n v="53.9"/>
    <n v="14.118343195266272"/>
  </r>
  <r>
    <x v="12"/>
    <x v="1"/>
    <x v="12"/>
    <n v="29"/>
    <n v="1559.1"/>
    <n v="13.510344829999999"/>
    <n v="53.70952381"/>
    <x v="8"/>
    <n v="341"/>
    <n v="2"/>
    <n v="1750"/>
    <n v="4.2"/>
    <n v="102"/>
    <n v="23"/>
    <n v="8"/>
    <n v="3"/>
    <n v="5"/>
    <n v="2018"/>
    <n v="9.1151640650000001"/>
    <n v="32560"/>
    <n v="53.415151520000002"/>
    <n v="4.0999999999999996"/>
    <n v="10.753035710000001"/>
    <n v="53.70952381"/>
    <n v="4.2"/>
    <n v="13.510344829999999"/>
    <n v="53.057894740000002"/>
    <n v="4.0999999999999996"/>
    <n v="12.98"/>
    <n v="53.9"/>
    <n v="53.762068965517237"/>
    <n v="53.900000000000006"/>
    <n v="14.111764705882353"/>
  </r>
  <r>
    <x v="12"/>
    <x v="1"/>
    <x v="13"/>
    <n v="6"/>
    <n v="299.39999999999998"/>
    <n v="23.251666669999999"/>
    <n v="49.9"/>
    <x v="8"/>
    <n v="341"/>
    <n v="2"/>
    <n v="1750"/>
    <n v="4.2"/>
    <n v="58"/>
    <n v="21"/>
    <n v="9"/>
    <n v="0"/>
    <n v="6"/>
    <n v="2018"/>
    <n v="2.4291175530000002"/>
    <n v="32560"/>
    <n v="49.9"/>
    <n v="4.0999999999999996"/>
    <n v="19.89083333"/>
    <n v="49.9"/>
    <n v="4.2"/>
    <n v="23.251666669999999"/>
    <n v="49.9"/>
    <n v="4.0999999999999996"/>
    <n v="22.878666670000001"/>
    <n v="53.70952381"/>
    <n v="49.9"/>
    <n v="53.762068965517237"/>
    <n v="14.198830409356725"/>
  </r>
  <r>
    <x v="12"/>
    <x v="1"/>
    <x v="14"/>
    <n v="14"/>
    <n v="698.6"/>
    <n v="33.281428570000003"/>
    <n v="49.9"/>
    <x v="8"/>
    <n v="341"/>
    <n v="2"/>
    <n v="1750"/>
    <n v="4.2"/>
    <n v="54"/>
    <n v="22"/>
    <n v="9"/>
    <n v="1"/>
    <n v="7"/>
    <n v="2018"/>
    <n v="8.4076669850000005"/>
    <n v="32560"/>
    <n v="49.91"/>
    <n v="4.0999999999999996"/>
    <n v="28.373333330000001"/>
    <n v="49.9"/>
    <n v="4.2"/>
    <n v="33.281428570000003"/>
    <n v="49.9"/>
    <n v="4.0999999999999996"/>
    <n v="20.99"/>
    <n v="49.9"/>
    <n v="49.9"/>
    <n v="49.9"/>
    <n v="14.151162790697674"/>
  </r>
  <r>
    <x v="12"/>
    <x v="1"/>
    <x v="15"/>
    <n v="10"/>
    <n v="499"/>
    <n v="36.442"/>
    <n v="49.9"/>
    <x v="8"/>
    <n v="341"/>
    <n v="2"/>
    <n v="1750"/>
    <n v="4.2"/>
    <n v="46"/>
    <n v="23"/>
    <n v="8"/>
    <n v="1"/>
    <n v="8"/>
    <n v="2018"/>
    <n v="9.0713603060000008"/>
    <n v="32560"/>
    <n v="49.91"/>
    <n v="4.0999999999999996"/>
    <n v="20.32833333"/>
    <n v="49.9"/>
    <n v="4.2"/>
    <n v="36.442"/>
    <n v="49.9"/>
    <n v="4.0999999999999996"/>
    <n v="32.32"/>
    <n v="49.9"/>
    <n v="49.9"/>
    <n v="49.9"/>
    <n v="14.15028901734104"/>
  </r>
  <r>
    <x v="13"/>
    <x v="6"/>
    <x v="8"/>
    <n v="22"/>
    <n v="3307.8"/>
    <n v="22.547727269999999"/>
    <n v="150.3545455"/>
    <x v="4"/>
    <n v="894"/>
    <n v="1"/>
    <n v="533"/>
    <n v="4.3"/>
    <n v="152"/>
    <n v="23"/>
    <n v="8"/>
    <n v="2"/>
    <n v="1"/>
    <n v="2018"/>
    <n v="8.0291970799999994"/>
    <n v="4840"/>
    <n v="156.5113514"/>
    <n v="4.2"/>
    <n v="36.807209299999997"/>
    <n v="150.3545455"/>
    <n v="4.3"/>
    <n v="22.547727269999999"/>
    <n v="97.642499999999998"/>
    <n v="3.5"/>
    <n v="14.846551720000001"/>
    <n v="150.30454549999999"/>
    <n v="150.35454545454547"/>
    <s v=""/>
    <n v="14.126436781609195"/>
  </r>
  <r>
    <x v="13"/>
    <x v="6"/>
    <x v="9"/>
    <n v="69"/>
    <n v="10343.1"/>
    <n v="26.552898549999998"/>
    <n v="149.9"/>
    <x v="4"/>
    <n v="894"/>
    <n v="1"/>
    <n v="533"/>
    <n v="4.3"/>
    <n v="202"/>
    <n v="20"/>
    <n v="8"/>
    <n v="2"/>
    <n v="2"/>
    <n v="2018"/>
    <n v="25.182481750000001"/>
    <n v="4840"/>
    <n v="149"/>
    <n v="4.2"/>
    <n v="41.16322581"/>
    <n v="149.9"/>
    <n v="4.3"/>
    <n v="26.552898549999998"/>
    <n v="78.712280699999994"/>
    <n v="3.5"/>
    <n v="14.535915490000001"/>
    <n v="150.3545455"/>
    <n v="149.9"/>
    <n v="150.35454545454547"/>
    <n v="14.171428571428571"/>
  </r>
  <r>
    <x v="13"/>
    <x v="6"/>
    <x v="10"/>
    <n v="51"/>
    <n v="7644.9"/>
    <n v="28.475882349999999"/>
    <n v="149.9"/>
    <x v="4"/>
    <n v="894"/>
    <n v="1"/>
    <n v="533"/>
    <n v="4.3"/>
    <n v="127"/>
    <n v="22"/>
    <n v="9"/>
    <n v="1"/>
    <n v="3"/>
    <n v="2018"/>
    <n v="18.61313869"/>
    <n v="4840"/>
    <n v="136.14285709999999"/>
    <n v="4.2"/>
    <n v="48.047499999999999"/>
    <n v="149.9"/>
    <n v="4.3"/>
    <n v="28.475882349999999"/>
    <n v="81.023913039999996"/>
    <n v="3.5"/>
    <n v="18.221481480000001"/>
    <n v="149.9"/>
    <n v="149.9"/>
    <n v="149.9"/>
    <n v="14.482954545454545"/>
  </r>
  <r>
    <x v="13"/>
    <x v="6"/>
    <x v="11"/>
    <n v="35"/>
    <n v="5246.5"/>
    <n v="30.227428570000001"/>
    <n v="149.9"/>
    <x v="4"/>
    <n v="894"/>
    <n v="1"/>
    <n v="533"/>
    <n v="4.3"/>
    <n v="107"/>
    <n v="21"/>
    <n v="9"/>
    <n v="1"/>
    <n v="4"/>
    <n v="2018"/>
    <n v="12.77372263"/>
    <n v="4840"/>
    <n v="120.9230769"/>
    <n v="4.2"/>
    <n v="27.253035709999999"/>
    <n v="149.9"/>
    <n v="4.3"/>
    <n v="30.227428570000001"/>
    <n v="80.666666669999998"/>
    <n v="3.5"/>
    <n v="18.17230769"/>
    <n v="149.9"/>
    <n v="149.9"/>
    <n v="149.9"/>
    <n v="14.689265536723164"/>
  </r>
  <r>
    <x v="13"/>
    <x v="6"/>
    <x v="12"/>
    <n v="52"/>
    <n v="7794.8"/>
    <n v="18.943076919999999"/>
    <n v="149.9"/>
    <x v="4"/>
    <n v="894"/>
    <n v="1"/>
    <n v="533"/>
    <n v="4.3"/>
    <n v="78"/>
    <n v="23"/>
    <n v="8"/>
    <n v="3"/>
    <n v="5"/>
    <n v="2018"/>
    <n v="18.978102190000001"/>
    <n v="4840"/>
    <n v="119"/>
    <n v="4.2"/>
    <n v="39.217199999999998"/>
    <n v="149.9"/>
    <n v="4.3"/>
    <n v="18.943076919999999"/>
    <n v="79.8"/>
    <n v="3.5"/>
    <n v="14.41454545"/>
    <n v="149.9"/>
    <n v="149.9"/>
    <n v="149.9"/>
    <n v="14.803370786516854"/>
  </r>
  <r>
    <x v="13"/>
    <x v="6"/>
    <x v="13"/>
    <n v="27"/>
    <n v="4047.3"/>
    <n v="27.626666669999999"/>
    <n v="149.9"/>
    <x v="4"/>
    <n v="894"/>
    <n v="1"/>
    <n v="533"/>
    <n v="4.3"/>
    <n v="66"/>
    <n v="21"/>
    <n v="9"/>
    <n v="0"/>
    <n v="6"/>
    <n v="2018"/>
    <n v="9.8540145989999992"/>
    <n v="4840"/>
    <n v="114.49115380000001"/>
    <n v="4.2"/>
    <n v="53.625555560000002"/>
    <n v="149.9"/>
    <n v="4.3"/>
    <n v="27.626666669999999"/>
    <n v="78.900000000000006"/>
    <n v="3.5"/>
    <n v="17.327999999999999"/>
    <n v="149.9"/>
    <n v="149.9"/>
    <n v="149.9"/>
    <n v="15.011173184357542"/>
  </r>
  <r>
    <x v="13"/>
    <x v="6"/>
    <x v="14"/>
    <n v="13"/>
    <n v="1948.7"/>
    <n v="33.571538459999999"/>
    <n v="149.9"/>
    <x v="4"/>
    <n v="894"/>
    <n v="1"/>
    <n v="533"/>
    <n v="4.3"/>
    <n v="43"/>
    <n v="22"/>
    <n v="9"/>
    <n v="1"/>
    <n v="7"/>
    <n v="2018"/>
    <n v="4.7445255470000003"/>
    <n v="4840"/>
    <n v="119.99"/>
    <n v="4.2"/>
    <n v="48.626666669999999"/>
    <n v="149.9"/>
    <n v="4.3"/>
    <n v="33.571538459999999"/>
    <n v="77.900000000000006"/>
    <n v="3.5"/>
    <n v="14.638571430000001"/>
    <n v="149.9"/>
    <n v="149.9"/>
    <n v="149.9"/>
    <n v="15.077777777777778"/>
  </r>
  <r>
    <x v="13"/>
    <x v="6"/>
    <x v="15"/>
    <n v="5"/>
    <n v="749.5"/>
    <n v="24.76"/>
    <n v="149.9"/>
    <x v="4"/>
    <n v="894"/>
    <n v="1"/>
    <n v="533"/>
    <n v="4.3"/>
    <n v="18"/>
    <n v="23"/>
    <n v="8"/>
    <n v="1"/>
    <n v="8"/>
    <n v="2018"/>
    <n v="1.8248175179999999"/>
    <n v="4840"/>
    <n v="119.99"/>
    <n v="4.2"/>
    <n v="39.045999999999999"/>
    <n v="149.9"/>
    <n v="4.3"/>
    <n v="24.76"/>
    <n v="77.900000000000006"/>
    <n v="3.5"/>
    <n v="13.414999999999999"/>
    <n v="149.9"/>
    <n v="149.9"/>
    <n v="149.9"/>
    <n v="15.066298342541437"/>
  </r>
  <r>
    <x v="14"/>
    <x v="3"/>
    <x v="8"/>
    <n v="3"/>
    <n v="185.97"/>
    <n v="24.05"/>
    <n v="61.99"/>
    <x v="6"/>
    <n v="1257"/>
    <n v="1"/>
    <n v="350"/>
    <n v="3.9"/>
    <n v="98"/>
    <n v="23"/>
    <n v="8"/>
    <n v="2"/>
    <n v="1"/>
    <n v="2018"/>
    <n v="2"/>
    <n v="2964"/>
    <n v="23.99"/>
    <n v="4.3"/>
    <n v="11.28736842"/>
    <n v="89.99"/>
    <n v="4.0999999999999996"/>
    <n v="14.811"/>
    <n v="58.99"/>
    <n v="3.9"/>
    <n v="22.678333330000001"/>
    <n v="61.94"/>
    <n v="61.99"/>
    <s v=""/>
    <n v="15.010989010989011"/>
  </r>
  <r>
    <x v="14"/>
    <x v="3"/>
    <x v="10"/>
    <n v="13"/>
    <n v="805.87"/>
    <n v="28.61461538"/>
    <n v="61.99"/>
    <x v="6"/>
    <n v="1257"/>
    <n v="1"/>
    <n v="350"/>
    <n v="3.9"/>
    <n v="169"/>
    <n v="22"/>
    <n v="9"/>
    <n v="1"/>
    <n v="3"/>
    <n v="2018"/>
    <n v="8.6666666669999994"/>
    <n v="2964"/>
    <n v="23.99"/>
    <n v="4.3"/>
    <n v="14.19875"/>
    <n v="83.74"/>
    <n v="4.0999999999999996"/>
    <n v="11.876875"/>
    <n v="58.99"/>
    <n v="3.9"/>
    <n v="15.228"/>
    <n v="61.94"/>
    <n v="61.99"/>
    <n v="61.99"/>
    <n v="14.94535519125683"/>
  </r>
  <r>
    <x v="14"/>
    <x v="3"/>
    <x v="11"/>
    <n v="15"/>
    <n v="974.85"/>
    <n v="25.346"/>
    <n v="64.989999999999995"/>
    <x v="6"/>
    <n v="1257"/>
    <n v="1"/>
    <n v="350"/>
    <n v="3.9"/>
    <n v="118"/>
    <n v="21"/>
    <n v="9"/>
    <n v="1"/>
    <n v="4"/>
    <n v="2018"/>
    <n v="10"/>
    <n v="2964"/>
    <n v="64.989999999999995"/>
    <n v="3.9"/>
    <n v="25.346"/>
    <n v="79.989999999999995"/>
    <n v="4.0999999999999996"/>
    <n v="14.484999999999999"/>
    <n v="58.99"/>
    <n v="3.9"/>
    <n v="16.302727269999998"/>
    <n v="61.99"/>
    <n v="64.989999999999995"/>
    <n v="61.99"/>
    <n v="14.934782608695652"/>
  </r>
  <r>
    <x v="14"/>
    <x v="3"/>
    <x v="12"/>
    <n v="38"/>
    <n v="2469.62"/>
    <n v="24.77447368"/>
    <n v="64.989999999999995"/>
    <x v="6"/>
    <n v="1257"/>
    <n v="1"/>
    <n v="350"/>
    <n v="3.9"/>
    <n v="159"/>
    <n v="23"/>
    <n v="8"/>
    <n v="3"/>
    <n v="5"/>
    <n v="2018"/>
    <n v="25.333333329999999"/>
    <n v="2964"/>
    <n v="23.99"/>
    <n v="4.3"/>
    <n v="7.9885714290000003"/>
    <n v="79.989999999999995"/>
    <n v="4.0999999999999996"/>
    <n v="21.943124999999998"/>
    <n v="58.99"/>
    <n v="3.9"/>
    <n v="9.4224999999999994"/>
    <n v="64.989999999999995"/>
    <n v="64.989999999999995"/>
    <n v="64.989999999999995"/>
    <n v="14.935135135135136"/>
  </r>
  <r>
    <x v="14"/>
    <x v="3"/>
    <x v="13"/>
    <n v="26"/>
    <n v="1741.74"/>
    <n v="30.241538460000001"/>
    <n v="66.989999999999995"/>
    <x v="6"/>
    <n v="1257"/>
    <n v="1"/>
    <n v="350"/>
    <n v="3.9"/>
    <n v="131"/>
    <n v="21"/>
    <n v="9"/>
    <n v="0"/>
    <n v="6"/>
    <n v="2018"/>
    <n v="17.333333329999999"/>
    <n v="2964"/>
    <n v="23.99"/>
    <n v="4.3"/>
    <n v="16.27"/>
    <n v="79.989999999999995"/>
    <n v="4.0999999999999996"/>
    <n v="13.36230769"/>
    <n v="58.99"/>
    <n v="3.9"/>
    <n v="16.43"/>
    <n v="64.989999999999995"/>
    <n v="66.989999999999995"/>
    <n v="64.989999999999995"/>
    <n v="15.059139784946236"/>
  </r>
  <r>
    <x v="14"/>
    <x v="3"/>
    <x v="14"/>
    <n v="27"/>
    <n v="1808.73"/>
    <n v="25.90074074"/>
    <n v="66.989999999999995"/>
    <x v="6"/>
    <n v="1257"/>
    <n v="1"/>
    <n v="350"/>
    <n v="3.9"/>
    <n v="113"/>
    <n v="22"/>
    <n v="9"/>
    <n v="1"/>
    <n v="7"/>
    <n v="2018"/>
    <n v="18"/>
    <n v="2964"/>
    <n v="23.99"/>
    <n v="4.3"/>
    <n v="18.809999999999999"/>
    <n v="79.989999999999995"/>
    <n v="4.0999999999999996"/>
    <n v="16.745000000000001"/>
    <n v="58.99"/>
    <n v="3.9"/>
    <n v="7.67"/>
    <n v="66.989999999999995"/>
    <n v="66.989999999999995"/>
    <n v="66.989999999999995"/>
    <n v="15.117647058823529"/>
  </r>
  <r>
    <x v="14"/>
    <x v="3"/>
    <x v="15"/>
    <n v="28"/>
    <n v="1875.72"/>
    <n v="23.528214290000001"/>
    <n v="66.989999999999995"/>
    <x v="6"/>
    <n v="1257"/>
    <n v="1"/>
    <n v="350"/>
    <n v="3.9"/>
    <n v="127"/>
    <n v="23"/>
    <n v="8"/>
    <n v="1"/>
    <n v="8"/>
    <n v="2018"/>
    <n v="18.666666670000001"/>
    <n v="2964"/>
    <n v="23.99"/>
    <n v="4.3"/>
    <n v="16.77"/>
    <n v="82.821428569999995"/>
    <n v="4.0999999999999996"/>
    <n v="12.41857143"/>
    <n v="58.99"/>
    <n v="3.9"/>
    <n v="12.08333333"/>
    <n v="66.989999999999995"/>
    <n v="66.989999999999995"/>
    <n v="66.989999999999995"/>
    <n v="15.180851063829786"/>
  </r>
  <r>
    <x v="15"/>
    <x v="1"/>
    <x v="0"/>
    <n v="4"/>
    <n v="239.6"/>
    <n v="19.732500000000002"/>
    <n v="59.9"/>
    <x v="10"/>
    <n v="348"/>
    <n v="2"/>
    <n v="1550"/>
    <n v="4.0999999999999996"/>
    <n v="34"/>
    <n v="23"/>
    <n v="8"/>
    <n v="1"/>
    <n v="5"/>
    <n v="2017"/>
    <n v="14.186176140000001"/>
    <n v="19800"/>
    <n v="59.9"/>
    <n v="4.0999999999999996"/>
    <n v="19.732500000000002"/>
    <n v="59.9"/>
    <n v="4.2"/>
    <n v="26.24666667"/>
    <n v="59.9"/>
    <n v="4.0999999999999996"/>
    <n v="19.732500000000002"/>
    <n v="59.85"/>
    <n v="59.9"/>
    <s v=""/>
    <n v="15.248677248677248"/>
  </r>
  <r>
    <x v="15"/>
    <x v="1"/>
    <x v="1"/>
    <n v="1"/>
    <n v="59.9"/>
    <n v="17.670000000000002"/>
    <n v="59.9"/>
    <x v="10"/>
    <n v="348"/>
    <n v="2"/>
    <n v="1550"/>
    <n v="4.0999999999999996"/>
    <n v="26"/>
    <n v="22"/>
    <n v="8"/>
    <n v="1"/>
    <n v="6"/>
    <n v="2017"/>
    <n v="3.0657748050000002"/>
    <n v="19800"/>
    <n v="59.9"/>
    <n v="4.0999999999999996"/>
    <n v="17.670000000000002"/>
    <n v="59.9"/>
    <n v="4.2"/>
    <n v="16.260000000000002"/>
    <n v="59.9"/>
    <n v="4.0999999999999996"/>
    <n v="17.670000000000002"/>
    <n v="59.9"/>
    <n v="59.9"/>
    <n v="59.9"/>
    <n v="15.189473684210526"/>
  </r>
  <r>
    <x v="15"/>
    <x v="1"/>
    <x v="2"/>
    <n v="14"/>
    <n v="838.6"/>
    <n v="16.626428570000002"/>
    <n v="59.9"/>
    <x v="10"/>
    <n v="348"/>
    <n v="2"/>
    <n v="1550"/>
    <n v="4.0999999999999996"/>
    <n v="74"/>
    <n v="21"/>
    <n v="10"/>
    <n v="1"/>
    <n v="7"/>
    <n v="2017"/>
    <n v="3.9785395760000002"/>
    <n v="19800"/>
    <n v="59.9"/>
    <n v="4.0999999999999996"/>
    <n v="16.626428570000002"/>
    <n v="59.9"/>
    <n v="4.2"/>
    <n v="16.111578949999998"/>
    <n v="59.9"/>
    <n v="4.0999999999999996"/>
    <n v="15.392307690000001"/>
    <n v="59.9"/>
    <n v="59.9"/>
    <n v="59.9"/>
    <n v="15.115183246073299"/>
  </r>
  <r>
    <x v="15"/>
    <x v="1"/>
    <x v="3"/>
    <n v="39"/>
    <n v="2336.1"/>
    <n v="18.162307689999999"/>
    <n v="59.9"/>
    <x v="10"/>
    <n v="348"/>
    <n v="2"/>
    <n v="1550"/>
    <n v="4.0999999999999996"/>
    <n v="113"/>
    <n v="23"/>
    <n v="8"/>
    <n v="1"/>
    <n v="8"/>
    <n v="2017"/>
    <n v="8.5075250839999992"/>
    <n v="19800"/>
    <n v="59.9"/>
    <n v="4.0999999999999996"/>
    <n v="18.162307689999999"/>
    <n v="59.9"/>
    <n v="4.2"/>
    <n v="17.68111111"/>
    <n v="59.9"/>
    <n v="4.0999999999999996"/>
    <n v="18.05043478"/>
    <n v="59.9"/>
    <n v="59.9"/>
    <n v="59.9"/>
    <n v="15.109375"/>
  </r>
  <r>
    <x v="15"/>
    <x v="1"/>
    <x v="4"/>
    <n v="37"/>
    <n v="2216.3000000000002"/>
    <n v="17.187027029999999"/>
    <n v="59.9"/>
    <x v="10"/>
    <n v="348"/>
    <n v="2"/>
    <n v="1550"/>
    <n v="4.0999999999999996"/>
    <n v="115"/>
    <n v="21"/>
    <n v="9"/>
    <n v="1"/>
    <n v="9"/>
    <n v="2017"/>
    <n v="13.405797099999999"/>
    <n v="19800"/>
    <n v="59.9"/>
    <n v="4.0999999999999996"/>
    <n v="17.187027029999999"/>
    <n v="59.9"/>
    <n v="4.2"/>
    <n v="16.811764709999999"/>
    <n v="59.9"/>
    <n v="4.0999999999999996"/>
    <n v="16.29461538"/>
    <n v="59.9"/>
    <n v="59.900000000000006"/>
    <n v="59.9"/>
    <n v="15.233160621761659"/>
  </r>
  <r>
    <x v="15"/>
    <x v="1"/>
    <x v="5"/>
    <n v="39"/>
    <n v="2336.1"/>
    <n v="18.065897440000001"/>
    <n v="59.9"/>
    <x v="10"/>
    <n v="348"/>
    <n v="2"/>
    <n v="1550"/>
    <n v="4.0999999999999996"/>
    <n v="146"/>
    <n v="22"/>
    <n v="9"/>
    <n v="2"/>
    <n v="10"/>
    <n v="2017"/>
    <n v="14.13043478"/>
    <n v="19800"/>
    <n v="59.9"/>
    <n v="4.0999999999999996"/>
    <n v="18.065897440000001"/>
    <n v="59.9"/>
    <n v="4.2"/>
    <n v="17.595483869999999"/>
    <n v="59.9"/>
    <n v="4.0999999999999996"/>
    <n v="16.814166669999999"/>
    <n v="59.9"/>
    <n v="59.9"/>
    <n v="59.900000000000006"/>
    <n v="15.345360824742269"/>
  </r>
  <r>
    <x v="15"/>
    <x v="1"/>
    <x v="6"/>
    <n v="91"/>
    <n v="4769.7"/>
    <n v="17.06747253"/>
    <n v="52.406944439999997"/>
    <x v="10"/>
    <n v="348"/>
    <n v="2"/>
    <n v="1550"/>
    <n v="4.0999999999999996"/>
    <n v="339"/>
    <n v="22"/>
    <n v="8"/>
    <n v="4"/>
    <n v="11"/>
    <n v="2017"/>
    <n v="32.971014490000002"/>
    <n v="19800"/>
    <n v="52.406944439999997"/>
    <n v="4.0999999999999996"/>
    <n v="17.06747253"/>
    <n v="53.648281249999997"/>
    <n v="4.2"/>
    <n v="16.075862069999999"/>
    <n v="53.785714290000001"/>
    <n v="4.0999999999999996"/>
    <n v="18.27550725"/>
    <n v="59.9"/>
    <n v="52.414285714285711"/>
    <n v="59.9"/>
    <n v="15.466666666666667"/>
  </r>
  <r>
    <x v="15"/>
    <x v="1"/>
    <x v="7"/>
    <n v="51"/>
    <n v="2881.6"/>
    <n v="15.759607839999999"/>
    <n v="55.1"/>
    <x v="10"/>
    <n v="348"/>
    <n v="2"/>
    <n v="1550"/>
    <n v="4.0999999999999996"/>
    <n v="184"/>
    <n v="21"/>
    <n v="10"/>
    <n v="1"/>
    <n v="12"/>
    <n v="2017"/>
    <n v="18.47826087"/>
    <n v="19800"/>
    <n v="55.1"/>
    <n v="4.0999999999999996"/>
    <n v="15.759607839999999"/>
    <n v="55.424999999999997"/>
    <n v="4.2"/>
    <n v="19.184374999999999"/>
    <n v="55.75"/>
    <n v="4.0999999999999996"/>
    <n v="17.267272729999998"/>
    <n v="52.406944439999997"/>
    <n v="56.501960784313724"/>
    <n v="52.414285714285711"/>
    <n v="15.852040816326531"/>
  </r>
  <r>
    <x v="15"/>
    <x v="1"/>
    <x v="8"/>
    <n v="12"/>
    <n v="598.79999999999995"/>
    <n v="19.495000000000001"/>
    <n v="49.9"/>
    <x v="10"/>
    <n v="348"/>
    <n v="2"/>
    <n v="1550"/>
    <n v="4.0999999999999996"/>
    <n v="137"/>
    <n v="23"/>
    <n v="8"/>
    <n v="2"/>
    <n v="1"/>
    <n v="2018"/>
    <n v="5.769230769"/>
    <n v="19800"/>
    <n v="49.9"/>
    <n v="4.0999999999999996"/>
    <n v="19.495000000000001"/>
    <n v="49.9"/>
    <n v="4.2"/>
    <n v="15.841034479999999"/>
    <n v="49.9"/>
    <n v="4.0999999999999996"/>
    <n v="16.505128209999999"/>
    <n v="55.1"/>
    <n v="49.9"/>
    <n v="56.501960784313724"/>
    <n v="16.030456852791879"/>
  </r>
  <r>
    <x v="15"/>
    <x v="1"/>
    <x v="9"/>
    <n v="39"/>
    <n v="1970.1"/>
    <n v="16.611538459999998"/>
    <n v="50.545161290000003"/>
    <x v="10"/>
    <n v="348"/>
    <n v="2"/>
    <n v="1550"/>
    <n v="4.0999999999999996"/>
    <n v="160"/>
    <n v="20"/>
    <n v="8"/>
    <n v="2"/>
    <n v="2"/>
    <n v="2018"/>
    <n v="18.75"/>
    <n v="19800"/>
    <n v="50.545161290000003"/>
    <n v="4.0999999999999996"/>
    <n v="16.611538459999998"/>
    <n v="50.9"/>
    <n v="4.2"/>
    <n v="17.519444440000001"/>
    <n v="50.357142860000003"/>
    <n v="4.0999999999999996"/>
    <n v="18.281874999999999"/>
    <n v="49.9"/>
    <n v="50.515384615384612"/>
    <n v="49.9"/>
    <n v="16.01010101010101"/>
  </r>
  <r>
    <x v="15"/>
    <x v="1"/>
    <x v="10"/>
    <n v="31"/>
    <n v="1670.9"/>
    <n v="20.359677420000001"/>
    <n v="53.9"/>
    <x v="10"/>
    <n v="348"/>
    <n v="2"/>
    <n v="1550"/>
    <n v="4.0999999999999996"/>
    <n v="116"/>
    <n v="22"/>
    <n v="9"/>
    <n v="1"/>
    <n v="3"/>
    <n v="2018"/>
    <n v="14.90384615"/>
    <n v="19800"/>
    <n v="53.9"/>
    <n v="4.0999999999999996"/>
    <n v="20.359677420000001"/>
    <n v="53.9"/>
    <n v="4.2"/>
    <n v="21.852857140000001"/>
    <n v="53.9"/>
    <n v="4.0999999999999996"/>
    <n v="19.024230769999999"/>
    <n v="50.545161290000003"/>
    <n v="53.900000000000006"/>
    <n v="50.515384615384612"/>
    <n v="16.125628140703519"/>
  </r>
  <r>
    <x v="15"/>
    <x v="1"/>
    <x v="11"/>
    <n v="46"/>
    <n v="2479.4"/>
    <n v="5.2817391300000001"/>
    <n v="53.9"/>
    <x v="10"/>
    <n v="348"/>
    <n v="2"/>
    <n v="1550"/>
    <n v="4.0999999999999996"/>
    <n v="111"/>
    <n v="21"/>
    <n v="9"/>
    <n v="1"/>
    <n v="4"/>
    <n v="2018"/>
    <n v="22.11538462"/>
    <n v="19800"/>
    <n v="53.9"/>
    <n v="4.0999999999999996"/>
    <n v="5.2817391300000001"/>
    <n v="53.9"/>
    <n v="4.2"/>
    <n v="19.46846154"/>
    <n v="53.9"/>
    <n v="4.0999999999999996"/>
    <n v="19.071428569999998"/>
    <n v="53.9"/>
    <n v="53.9"/>
    <n v="53.900000000000006"/>
    <n v="16.2"/>
  </r>
  <r>
    <x v="15"/>
    <x v="1"/>
    <x v="12"/>
    <n v="56"/>
    <n v="2982.4"/>
    <n v="10.753035710000001"/>
    <n v="53.415151520000002"/>
    <x v="10"/>
    <n v="348"/>
    <n v="2"/>
    <n v="1550"/>
    <n v="4.0999999999999996"/>
    <n v="102"/>
    <n v="23"/>
    <n v="8"/>
    <n v="3"/>
    <n v="5"/>
    <n v="2018"/>
    <n v="14.186176140000001"/>
    <n v="19800"/>
    <n v="53.415151520000002"/>
    <n v="4.0999999999999996"/>
    <n v="10.753035710000001"/>
    <n v="53.70952381"/>
    <n v="4.2"/>
    <n v="13.510344829999999"/>
    <n v="53.057894740000002"/>
    <n v="4.0999999999999996"/>
    <n v="12.98"/>
    <n v="53.9"/>
    <n v="53.25714285714286"/>
    <n v="53.9"/>
    <n v="16.348258706467661"/>
  </r>
  <r>
    <x v="15"/>
    <x v="1"/>
    <x v="13"/>
    <n v="12"/>
    <n v="598.79999999999995"/>
    <n v="19.89083333"/>
    <n v="49.9"/>
    <x v="10"/>
    <n v="348"/>
    <n v="2"/>
    <n v="1550"/>
    <n v="4.0999999999999996"/>
    <n v="58"/>
    <n v="21"/>
    <n v="9"/>
    <n v="0"/>
    <n v="6"/>
    <n v="2018"/>
    <n v="3.0657748050000002"/>
    <n v="19800"/>
    <n v="49.9"/>
    <n v="4.0999999999999996"/>
    <n v="19.89083333"/>
    <n v="49.9"/>
    <n v="4.2"/>
    <n v="23.251666669999999"/>
    <n v="49.9"/>
    <n v="4.0999999999999996"/>
    <n v="22.878666670000001"/>
    <n v="53.415151520000002"/>
    <n v="49.9"/>
    <n v="53.25714285714286"/>
    <n v="16.544554455445546"/>
  </r>
  <r>
    <x v="15"/>
    <x v="1"/>
    <x v="14"/>
    <n v="6"/>
    <n v="299.45999999999998"/>
    <n v="28.373333330000001"/>
    <n v="49.91"/>
    <x v="10"/>
    <n v="348"/>
    <n v="2"/>
    <n v="1550"/>
    <n v="4.0999999999999996"/>
    <n v="54"/>
    <n v="22"/>
    <n v="9"/>
    <n v="1"/>
    <n v="7"/>
    <n v="2018"/>
    <n v="3.9785395760000002"/>
    <n v="19800"/>
    <n v="49.91"/>
    <n v="4.0999999999999996"/>
    <n v="28.373333330000001"/>
    <n v="49.9"/>
    <n v="4.2"/>
    <n v="33.281428570000003"/>
    <n v="49.9"/>
    <n v="4.0999999999999996"/>
    <n v="20.99"/>
    <n v="49.9"/>
    <n v="49.91"/>
    <n v="49.9"/>
    <n v="16.52216748768473"/>
  </r>
  <r>
    <x v="15"/>
    <x v="1"/>
    <x v="15"/>
    <n v="6"/>
    <n v="299.45999999999998"/>
    <n v="20.32833333"/>
    <n v="49.91"/>
    <x v="10"/>
    <n v="348"/>
    <n v="2"/>
    <n v="1550"/>
    <n v="4.0999999999999996"/>
    <n v="46"/>
    <n v="23"/>
    <n v="8"/>
    <n v="1"/>
    <n v="8"/>
    <n v="2018"/>
    <n v="8.5075250839999992"/>
    <n v="19800"/>
    <n v="49.91"/>
    <n v="4.0999999999999996"/>
    <n v="20.32833333"/>
    <n v="49.9"/>
    <n v="4.2"/>
    <n v="36.442"/>
    <n v="49.9"/>
    <n v="4.0999999999999996"/>
    <n v="32.32"/>
    <n v="49.91"/>
    <n v="49.91"/>
    <n v="49.91"/>
    <n v="16.470588235294116"/>
  </r>
  <r>
    <x v="16"/>
    <x v="3"/>
    <x v="9"/>
    <n v="21"/>
    <n v="994.04"/>
    <n v="10.20047619"/>
    <n v="47.357894739999999"/>
    <x v="5"/>
    <n v="409"/>
    <n v="1"/>
    <n v="1110"/>
    <n v="4.2"/>
    <n v="126"/>
    <n v="20"/>
    <n v="8"/>
    <n v="2"/>
    <n v="2"/>
    <n v="2018"/>
    <n v="13.548387099999999"/>
    <n v="3762"/>
    <n v="23.99"/>
    <n v="4.3"/>
    <n v="12.55"/>
    <n v="89.99"/>
    <n v="4.0999999999999996"/>
    <n v="16.307647060000001"/>
    <n v="58.99"/>
    <n v="3.9"/>
    <n v="19.574999999999999"/>
    <n v="47.307894740000002"/>
    <n v="47.335238095238097"/>
    <s v=""/>
    <n v="16.41951219512195"/>
  </r>
  <r>
    <x v="16"/>
    <x v="3"/>
    <x v="10"/>
    <n v="58"/>
    <n v="2809.65"/>
    <n v="12.563448279999999"/>
    <n v="48.459444439999999"/>
    <x v="5"/>
    <n v="409"/>
    <n v="1"/>
    <n v="1110"/>
    <n v="4.2"/>
    <n v="169"/>
    <n v="22"/>
    <n v="9"/>
    <n v="1"/>
    <n v="3"/>
    <n v="2018"/>
    <n v="37.419354839999997"/>
    <n v="3762"/>
    <n v="23.99"/>
    <n v="4.3"/>
    <n v="14.19875"/>
    <n v="83.74"/>
    <n v="4.0999999999999996"/>
    <n v="11.876875"/>
    <n v="58.99"/>
    <n v="3.9"/>
    <n v="15.228"/>
    <n v="47.357894739999999"/>
    <n v="48.442241379310346"/>
    <n v="47.335238095238097"/>
    <n v="16.441747572815533"/>
  </r>
  <r>
    <x v="16"/>
    <x v="3"/>
    <x v="11"/>
    <n v="18"/>
    <n v="965.91"/>
    <n v="13.160555560000001"/>
    <n v="53.701764709999999"/>
    <x v="5"/>
    <n v="409"/>
    <n v="1"/>
    <n v="1110"/>
    <n v="4.2"/>
    <n v="118"/>
    <n v="21"/>
    <n v="9"/>
    <n v="1"/>
    <n v="4"/>
    <n v="2018"/>
    <n v="11.612903230000001"/>
    <n v="3762"/>
    <n v="53.701764709999999"/>
    <n v="4.2"/>
    <n v="13.160555560000001"/>
    <n v="79.989999999999995"/>
    <n v="4.0999999999999996"/>
    <n v="14.484999999999999"/>
    <n v="58.99"/>
    <n v="3.9"/>
    <n v="16.302727269999998"/>
    <n v="48.459444439999999"/>
    <n v="53.661666666666662"/>
    <n v="48.442241379310346"/>
    <n v="16.642512077294686"/>
  </r>
  <r>
    <x v="16"/>
    <x v="3"/>
    <x v="12"/>
    <n v="33"/>
    <n v="1723.08"/>
    <n v="10.631212120000001"/>
    <n v="52.069285710000003"/>
    <x v="5"/>
    <n v="409"/>
    <n v="1"/>
    <n v="1110"/>
    <n v="4.2"/>
    <n v="159"/>
    <n v="23"/>
    <n v="8"/>
    <n v="3"/>
    <n v="5"/>
    <n v="2018"/>
    <n v="21.290322580000002"/>
    <n v="3762"/>
    <n v="23.99"/>
    <n v="4.3"/>
    <n v="7.9885714290000003"/>
    <n v="79.989999999999995"/>
    <n v="4.0999999999999996"/>
    <n v="21.943124999999998"/>
    <n v="58.99"/>
    <n v="3.9"/>
    <n v="9.4224999999999994"/>
    <n v="53.701764709999999"/>
    <n v="52.214545454545451"/>
    <n v="53.661666666666662"/>
    <n v="16.64903846153846"/>
  </r>
  <r>
    <x v="16"/>
    <x v="3"/>
    <x v="13"/>
    <n v="9"/>
    <n v="449.82"/>
    <n v="12.91"/>
    <n v="49.98"/>
    <x v="5"/>
    <n v="409"/>
    <n v="1"/>
    <n v="1110"/>
    <n v="4.2"/>
    <n v="131"/>
    <n v="21"/>
    <n v="9"/>
    <n v="0"/>
    <n v="6"/>
    <n v="2018"/>
    <n v="5.8064516130000001"/>
    <n v="3762"/>
    <n v="23.99"/>
    <n v="4.3"/>
    <n v="16.27"/>
    <n v="79.989999999999995"/>
    <n v="4.0999999999999996"/>
    <n v="13.36230769"/>
    <n v="58.99"/>
    <n v="3.9"/>
    <n v="16.43"/>
    <n v="52.069285710000003"/>
    <n v="49.98"/>
    <n v="52.214545454545451"/>
    <n v="16.727272727272727"/>
  </r>
  <r>
    <x v="16"/>
    <x v="3"/>
    <x v="14"/>
    <n v="5"/>
    <n v="257.56"/>
    <n v="14.368"/>
    <n v="51.512"/>
    <x v="5"/>
    <n v="409"/>
    <n v="1"/>
    <n v="1110"/>
    <n v="4.2"/>
    <n v="113"/>
    <n v="22"/>
    <n v="9"/>
    <n v="1"/>
    <n v="7"/>
    <n v="2018"/>
    <n v="3.225806452"/>
    <n v="3762"/>
    <n v="23.99"/>
    <n v="4.3"/>
    <n v="18.809999999999999"/>
    <n v="79.989999999999995"/>
    <n v="4.0999999999999996"/>
    <n v="16.745000000000001"/>
    <n v="58.99"/>
    <n v="3.9"/>
    <n v="7.67"/>
    <n v="49.98"/>
    <n v="51.512"/>
    <n v="49.98"/>
    <n v="16.69047619047619"/>
  </r>
  <r>
    <x v="16"/>
    <x v="3"/>
    <x v="15"/>
    <n v="11"/>
    <n v="557.85"/>
    <n v="9.3127272730000001"/>
    <n v="50.71"/>
    <x v="5"/>
    <n v="409"/>
    <n v="1"/>
    <n v="1110"/>
    <n v="4.2"/>
    <n v="127"/>
    <n v="23"/>
    <n v="8"/>
    <n v="1"/>
    <n v="8"/>
    <n v="2018"/>
    <n v="7.096774194"/>
    <n v="3762"/>
    <n v="23.99"/>
    <n v="4.3"/>
    <n v="16.77"/>
    <n v="82.821428569999995"/>
    <n v="4.0999999999999996"/>
    <n v="12.41857143"/>
    <n v="58.99"/>
    <n v="3.9"/>
    <n v="12.08333333"/>
    <n v="51.512"/>
    <n v="50.713636363636368"/>
    <n v="51.512"/>
    <n v="16.635071090047393"/>
  </r>
  <r>
    <x v="17"/>
    <x v="7"/>
    <x v="1"/>
    <n v="5"/>
    <n v="789.95"/>
    <n v="13.91"/>
    <n v="157.99"/>
    <x v="11"/>
    <n v="591"/>
    <n v="3"/>
    <n v="444"/>
    <n v="4"/>
    <n v="17"/>
    <n v="22"/>
    <n v="8"/>
    <n v="1"/>
    <n v="6"/>
    <n v="2017"/>
    <n v="4.0728228230000001"/>
    <n v="4480"/>
    <n v="163"/>
    <n v="4.2"/>
    <n v="14.265000000000001"/>
    <n v="157.99"/>
    <n v="4"/>
    <n v="13.91"/>
    <n v="185"/>
    <n v="3.8"/>
    <n v="14.74"/>
    <n v="157.94"/>
    <n v="157.99"/>
    <s v=""/>
    <n v="16.608490566037737"/>
  </r>
  <r>
    <x v="17"/>
    <x v="7"/>
    <x v="2"/>
    <n v="6"/>
    <n v="1016.95"/>
    <n v="14.95"/>
    <n v="171.792"/>
    <x v="11"/>
    <n v="591"/>
    <n v="3"/>
    <n v="444"/>
    <n v="4"/>
    <n v="29"/>
    <n v="21"/>
    <n v="10"/>
    <n v="1"/>
    <n v="7"/>
    <n v="2017"/>
    <n v="7.5262762759999999"/>
    <n v="4480"/>
    <n v="161.5909091"/>
    <n v="4.2"/>
    <n v="15.525454549999999"/>
    <n v="171.792"/>
    <n v="4"/>
    <n v="14.95"/>
    <n v="197.38300000000001"/>
    <n v="3.8"/>
    <n v="16.606000000000002"/>
    <n v="157.99"/>
    <n v="169.49166666666667"/>
    <n v="157.99"/>
    <n v="16.55399061032864"/>
  </r>
  <r>
    <x v="17"/>
    <x v="7"/>
    <x v="3"/>
    <n v="5"/>
    <n v="849.5"/>
    <n v="17.084"/>
    <n v="169.9"/>
    <x v="11"/>
    <n v="591"/>
    <n v="3"/>
    <n v="444"/>
    <n v="4"/>
    <n v="48"/>
    <n v="23"/>
    <n v="8"/>
    <n v="1"/>
    <n v="8"/>
    <n v="2017"/>
    <n v="5.4617117119999996"/>
    <n v="4480"/>
    <n v="160.66923080000001"/>
    <n v="4.2"/>
    <n v="15.185384620000001"/>
    <n v="169.9"/>
    <n v="4"/>
    <n v="17.084"/>
    <n v="179.9"/>
    <n v="3.8"/>
    <n v="14.926666669999999"/>
    <n v="171.792"/>
    <n v="169.9"/>
    <n v="169.49166666666667"/>
    <n v="16.504672897196262"/>
  </r>
  <r>
    <x v="17"/>
    <x v="7"/>
    <x v="4"/>
    <n v="10"/>
    <n v="1604"/>
    <n v="17.856000000000002"/>
    <n v="160.4"/>
    <x v="11"/>
    <n v="591"/>
    <n v="3"/>
    <n v="444"/>
    <n v="4"/>
    <n v="54"/>
    <n v="21"/>
    <n v="9"/>
    <n v="1"/>
    <n v="9"/>
    <n v="2017"/>
    <n v="13.513513509999999"/>
    <n v="4480"/>
    <n v="148.7785714"/>
    <n v="4.2"/>
    <n v="14.041111109999999"/>
    <n v="160.4"/>
    <n v="4"/>
    <n v="17.856000000000002"/>
    <n v="164.57"/>
    <n v="3.8"/>
    <n v="19.527999999999999"/>
    <n v="169.9"/>
    <n v="160.4"/>
    <n v="169.9"/>
    <n v="16.451162790697673"/>
  </r>
  <r>
    <x v="17"/>
    <x v="7"/>
    <x v="5"/>
    <n v="16"/>
    <n v="2391.6"/>
    <n v="18.505624999999998"/>
    <n v="149.47499999999999"/>
    <x v="11"/>
    <n v="591"/>
    <n v="3"/>
    <n v="444"/>
    <n v="4"/>
    <n v="43"/>
    <n v="22"/>
    <n v="9"/>
    <n v="2"/>
    <n v="10"/>
    <n v="2017"/>
    <n v="21.621621619999999"/>
    <n v="4480"/>
    <n v="134.9"/>
    <n v="4.2"/>
    <n v="6.81"/>
    <n v="149.47499999999999"/>
    <n v="4"/>
    <n v="18.505624999999998"/>
    <n v="232.49"/>
    <n v="3.8"/>
    <n v="14.2125"/>
    <n v="160.4"/>
    <n v="149.47499999999999"/>
    <n v="160.4"/>
    <n v="16.421296296296298"/>
  </r>
  <r>
    <x v="17"/>
    <x v="7"/>
    <x v="6"/>
    <n v="26"/>
    <n v="3660"/>
    <n v="19.17230769"/>
    <n v="140.56"/>
    <x v="11"/>
    <n v="591"/>
    <n v="3"/>
    <n v="444"/>
    <n v="4"/>
    <n v="91"/>
    <n v="22"/>
    <n v="8"/>
    <n v="4"/>
    <n v="11"/>
    <n v="2017"/>
    <n v="35.135135140000003"/>
    <n v="4480"/>
    <n v="133"/>
    <n v="4.2"/>
    <n v="19.916666670000001"/>
    <n v="108"/>
    <n v="4.2"/>
    <n v="15.908461539999999"/>
    <n v="174.43333329999999"/>
    <n v="3.8"/>
    <n v="20.992777780000001"/>
    <n v="149.47499999999999"/>
    <n v="140.76923076923077"/>
    <n v="149.47499999999999"/>
    <n v="16.419354838709676"/>
  </r>
  <r>
    <x v="17"/>
    <x v="7"/>
    <x v="7"/>
    <n v="6"/>
    <n v="894"/>
    <n v="17.00333333"/>
    <n v="149"/>
    <x v="11"/>
    <n v="591"/>
    <n v="3"/>
    <n v="444"/>
    <n v="4"/>
    <n v="73"/>
    <n v="21"/>
    <n v="10"/>
    <n v="1"/>
    <n v="12"/>
    <n v="2017"/>
    <n v="8.1081081079999997"/>
    <n v="4480"/>
    <n v="149"/>
    <n v="4.2"/>
    <n v="19.100000000000001"/>
    <n v="108"/>
    <n v="4.2"/>
    <n v="16.65384615"/>
    <n v="185.96"/>
    <n v="3.8"/>
    <n v="18.686"/>
    <n v="140.56"/>
    <n v="149"/>
    <n v="140.76923076923077"/>
    <n v="16.463302752293579"/>
  </r>
  <r>
    <x v="17"/>
    <x v="7"/>
    <x v="8"/>
    <n v="8"/>
    <n v="1188"/>
    <n v="14.164999999999999"/>
    <n v="148.5"/>
    <x v="11"/>
    <n v="591"/>
    <n v="3"/>
    <n v="444"/>
    <n v="4"/>
    <n v="59"/>
    <n v="23"/>
    <n v="8"/>
    <n v="2"/>
    <n v="1"/>
    <n v="2018"/>
    <n v="11.11111111"/>
    <n v="4480"/>
    <n v="148.5"/>
    <n v="4"/>
    <n v="14.164999999999999"/>
    <n v="108"/>
    <n v="4.2"/>
    <n v="16.196363640000001"/>
    <n v="199"/>
    <n v="3.8"/>
    <n v="21.88"/>
    <n v="149"/>
    <n v="148.5"/>
    <n v="149"/>
    <n v="16.415525114155251"/>
  </r>
  <r>
    <x v="17"/>
    <x v="7"/>
    <x v="9"/>
    <n v="14"/>
    <n v="2043.92"/>
    <n v="15.12928571"/>
    <n v="145.99428570000001"/>
    <x v="11"/>
    <n v="591"/>
    <n v="3"/>
    <n v="444"/>
    <n v="4"/>
    <n v="90"/>
    <n v="20"/>
    <n v="8"/>
    <n v="2"/>
    <n v="2"/>
    <n v="2018"/>
    <n v="19.444444440000002"/>
    <n v="4480"/>
    <n v="128.2416667"/>
    <n v="4.2"/>
    <n v="15.926666669999999"/>
    <n v="108"/>
    <n v="4.2"/>
    <n v="18.253636360000002"/>
    <n v="182"/>
    <n v="3.8"/>
    <n v="19.329999999999998"/>
    <n v="148.5"/>
    <n v="145.99428571428572"/>
    <n v="148.5"/>
    <n v="16.377272727272729"/>
  </r>
  <r>
    <x v="17"/>
    <x v="7"/>
    <x v="10"/>
    <n v="9"/>
    <n v="1115.7"/>
    <n v="26.27222222"/>
    <n v="123.9666667"/>
    <x v="11"/>
    <n v="591"/>
    <n v="3"/>
    <n v="444"/>
    <n v="4"/>
    <n v="125"/>
    <n v="22"/>
    <n v="9"/>
    <n v="1"/>
    <n v="3"/>
    <n v="2018"/>
    <n v="12.5"/>
    <n v="4480"/>
    <n v="117.44129030000001"/>
    <n v="4.2"/>
    <n v="18.261290320000001"/>
    <n v="105.6428571"/>
    <n v="4.2"/>
    <n v="21.6652381"/>
    <n v="151.87843749999999"/>
    <n v="3.8"/>
    <n v="20.313749999999999"/>
    <n v="145.99428570000001"/>
    <n v="123.96666666666667"/>
    <n v="145.99428571428572"/>
    <n v="16.366515837104071"/>
  </r>
  <r>
    <x v="17"/>
    <x v="7"/>
    <x v="11"/>
    <n v="10"/>
    <n v="1191.9000000000001"/>
    <n v="21.228999999999999"/>
    <n v="119.19"/>
    <x v="11"/>
    <n v="591"/>
    <n v="3"/>
    <n v="444"/>
    <n v="4"/>
    <n v="178"/>
    <n v="21"/>
    <n v="9"/>
    <n v="1"/>
    <n v="4"/>
    <n v="2018"/>
    <n v="13.88888889"/>
    <n v="4480"/>
    <n v="105.648625"/>
    <n v="4.2"/>
    <n v="2.1816470589999999"/>
    <n v="105"/>
    <n v="4.2"/>
    <n v="13.631428570000001"/>
    <n v="150.1333333"/>
    <n v="3.8"/>
    <n v="19.447777779999999"/>
    <n v="123.9666667"/>
    <n v="119.19000000000001"/>
    <n v="123.96666666666667"/>
    <n v="16.333333333333332"/>
  </r>
  <r>
    <x v="17"/>
    <x v="7"/>
    <x v="12"/>
    <n v="22"/>
    <n v="2598.9"/>
    <n v="14.71227273"/>
    <n v="118.1318182"/>
    <x v="11"/>
    <n v="591"/>
    <n v="3"/>
    <n v="444"/>
    <n v="4"/>
    <n v="260"/>
    <n v="23"/>
    <n v="8"/>
    <n v="3"/>
    <n v="5"/>
    <n v="2018"/>
    <n v="30.555555559999998"/>
    <n v="4480"/>
    <n v="103.79252339999999"/>
    <n v="4.2"/>
    <n v="9.5438596000000001E-2"/>
    <n v="105"/>
    <n v="4.2"/>
    <n v="11.3772973"/>
    <n v="132.53125"/>
    <n v="3.8"/>
    <n v="15.7621875"/>
    <n v="119.19"/>
    <n v="118.13181818181819"/>
    <n v="119.19000000000001"/>
    <n v="16.304932735426011"/>
  </r>
  <r>
    <x v="17"/>
    <x v="7"/>
    <x v="13"/>
    <n v="1"/>
    <n v="139.9"/>
    <n v="18.86"/>
    <n v="139.9"/>
    <x v="11"/>
    <n v="591"/>
    <n v="3"/>
    <n v="444"/>
    <n v="4"/>
    <n v="93"/>
    <n v="21"/>
    <n v="9"/>
    <n v="0"/>
    <n v="6"/>
    <n v="2018"/>
    <n v="4.0728228230000001"/>
    <n v="4480"/>
    <n v="119"/>
    <n v="4.2"/>
    <n v="19.206666670000001"/>
    <n v="105"/>
    <n v="4.2"/>
    <n v="23.823571430000001"/>
    <n v="138.22"/>
    <n v="3.8"/>
    <n v="16.108000000000001"/>
    <n v="118.1318182"/>
    <n v="139.9"/>
    <n v="118.13181818181819"/>
    <n v="16.330357142857142"/>
  </r>
  <r>
    <x v="17"/>
    <x v="7"/>
    <x v="14"/>
    <n v="5"/>
    <n v="694.9"/>
    <n v="23.161999999999999"/>
    <n v="138.97999999999999"/>
    <x v="11"/>
    <n v="591"/>
    <n v="3"/>
    <n v="444"/>
    <n v="4"/>
    <n v="122"/>
    <n v="22"/>
    <n v="9"/>
    <n v="1"/>
    <n v="7"/>
    <n v="2018"/>
    <n v="7.5262762759999999"/>
    <n v="4480"/>
    <n v="118.3636364"/>
    <n v="4.2"/>
    <n v="15.48"/>
    <n v="105"/>
    <n v="4.2"/>
    <n v="24.938749999999999"/>
    <n v="155"/>
    <n v="3.8"/>
    <n v="16.47"/>
    <n v="139.9"/>
    <n v="138.97999999999999"/>
    <n v="139.9"/>
    <n v="16.262222222222221"/>
  </r>
  <r>
    <x v="17"/>
    <x v="7"/>
    <x v="15"/>
    <n v="3"/>
    <n v="414"/>
    <n v="23.526666670000001"/>
    <n v="138"/>
    <x v="11"/>
    <n v="591"/>
    <n v="3"/>
    <n v="444"/>
    <n v="4"/>
    <n v="61"/>
    <n v="23"/>
    <n v="8"/>
    <n v="1"/>
    <n v="8"/>
    <n v="2018"/>
    <n v="5.4617117119999996"/>
    <n v="4480"/>
    <n v="112"/>
    <n v="4.2"/>
    <n v="13.44"/>
    <n v="105"/>
    <n v="4.2"/>
    <n v="23.385714289999999"/>
    <n v="145.55090910000001"/>
    <n v="3.8"/>
    <n v="21.897272730000001"/>
    <n v="138.97999999999999"/>
    <n v="138"/>
    <n v="138.97999999999999"/>
    <n v="16.212389380530972"/>
  </r>
  <r>
    <x v="18"/>
    <x v="3"/>
    <x v="3"/>
    <n v="3"/>
    <n v="254.97"/>
    <n v="15.57"/>
    <n v="84.99"/>
    <x v="2"/>
    <n v="1495"/>
    <n v="3"/>
    <n v="600"/>
    <n v="3.8"/>
    <n v="82"/>
    <n v="23"/>
    <n v="8"/>
    <n v="1"/>
    <n v="8"/>
    <n v="2017"/>
    <n v="3.125"/>
    <n v="8151"/>
    <n v="23.39740741"/>
    <n v="4.3"/>
    <n v="14.27678571"/>
    <n v="89.99"/>
    <n v="4.0999999999999996"/>
    <n v="13.410555560000001"/>
    <n v="58.99"/>
    <n v="3.9"/>
    <n v="16.240909089999999"/>
    <n v="84.94"/>
    <n v="84.99"/>
    <s v=""/>
    <n v="16.154185022026432"/>
  </r>
  <r>
    <x v="18"/>
    <x v="3"/>
    <x v="4"/>
    <n v="4"/>
    <n v="339.96"/>
    <n v="15.6"/>
    <n v="84.99"/>
    <x v="2"/>
    <n v="1495"/>
    <n v="3"/>
    <n v="600"/>
    <n v="3.8"/>
    <n v="89"/>
    <n v="21"/>
    <n v="9"/>
    <n v="1"/>
    <n v="9"/>
    <n v="2017"/>
    <n v="4.1666666670000003"/>
    <n v="8151"/>
    <n v="23.99"/>
    <n v="4.3"/>
    <n v="16.12"/>
    <n v="89.99"/>
    <n v="4.0999999999999996"/>
    <n v="13.96428571"/>
    <n v="58.99"/>
    <n v="3.9"/>
    <n v="15.639200000000001"/>
    <n v="84.99"/>
    <n v="84.99"/>
    <n v="84.99"/>
    <n v="16.096491228070175"/>
  </r>
  <r>
    <x v="18"/>
    <x v="3"/>
    <x v="5"/>
    <n v="3"/>
    <n v="254.97"/>
    <n v="19.61"/>
    <n v="84.99"/>
    <x v="2"/>
    <n v="1495"/>
    <n v="3"/>
    <n v="600"/>
    <n v="3.8"/>
    <n v="81"/>
    <n v="22"/>
    <n v="9"/>
    <n v="2"/>
    <n v="10"/>
    <n v="2017"/>
    <n v="3.125"/>
    <n v="8151"/>
    <n v="23.99"/>
    <n v="4.3"/>
    <n v="13.13666667"/>
    <n v="89.99"/>
    <n v="4.0999999999999996"/>
    <n v="16.56291667"/>
    <n v="58.99"/>
    <n v="3.9"/>
    <n v="19.065263160000001"/>
    <n v="84.99"/>
    <n v="84.99"/>
    <n v="84.99"/>
    <n v="16.043668122270741"/>
  </r>
  <r>
    <x v="18"/>
    <x v="3"/>
    <x v="6"/>
    <n v="36"/>
    <n v="3059.64"/>
    <n v="17.408333330000001"/>
    <n v="84.99"/>
    <x v="2"/>
    <n v="1495"/>
    <n v="3"/>
    <n v="600"/>
    <n v="3.8"/>
    <n v="139"/>
    <n v="22"/>
    <n v="8"/>
    <n v="4"/>
    <n v="11"/>
    <n v="2017"/>
    <n v="37.5"/>
    <n v="8151"/>
    <n v="23.99"/>
    <n v="4.3"/>
    <n v="12.37535714"/>
    <n v="89.99"/>
    <n v="4.0999999999999996"/>
    <n v="16.99038462"/>
    <n v="58.99"/>
    <n v="3.9"/>
    <n v="15.71166667"/>
    <n v="84.99"/>
    <n v="84.99"/>
    <n v="84.99"/>
    <n v="15.986956521739131"/>
  </r>
  <r>
    <x v="18"/>
    <x v="3"/>
    <x v="7"/>
    <n v="50"/>
    <n v="4249.5"/>
    <n v="16.244599999999998"/>
    <n v="84.99"/>
    <x v="2"/>
    <n v="1495"/>
    <n v="3"/>
    <n v="600"/>
    <n v="3.8"/>
    <n v="112"/>
    <n v="21"/>
    <n v="10"/>
    <n v="1"/>
    <n v="12"/>
    <n v="2017"/>
    <n v="52.083333330000002"/>
    <n v="8151"/>
    <n v="23.99"/>
    <n v="4.3"/>
    <n v="12.45684211"/>
    <n v="89.99"/>
    <n v="4.0999999999999996"/>
    <n v="15.89473684"/>
    <n v="58.99"/>
    <n v="3.9"/>
    <n v="16.332222219999998"/>
    <n v="84.99"/>
    <n v="84.99"/>
    <n v="84.99"/>
    <n v="16.073593073593074"/>
  </r>
  <r>
    <x v="18"/>
    <x v="3"/>
    <x v="8"/>
    <n v="13"/>
    <n v="1104.8699999999999"/>
    <n v="15.996153850000001"/>
    <n v="84.99"/>
    <x v="2"/>
    <n v="1495"/>
    <n v="3"/>
    <n v="600"/>
    <n v="3.8"/>
    <n v="98"/>
    <n v="23"/>
    <n v="8"/>
    <n v="2"/>
    <n v="1"/>
    <n v="2018"/>
    <n v="50"/>
    <n v="8151"/>
    <n v="23.99"/>
    <n v="4.3"/>
    <n v="11.28736842"/>
    <n v="89.99"/>
    <n v="4.0999999999999996"/>
    <n v="14.811"/>
    <n v="58.99"/>
    <n v="3.9"/>
    <n v="22.678333330000001"/>
    <n v="84.99"/>
    <n v="84.99"/>
    <n v="84.99"/>
    <n v="16.219827586206897"/>
  </r>
  <r>
    <x v="18"/>
    <x v="3"/>
    <x v="9"/>
    <n v="7"/>
    <n v="594.92999999999995"/>
    <n v="15.86714286"/>
    <n v="84.99"/>
    <x v="2"/>
    <n v="1495"/>
    <n v="3"/>
    <n v="600"/>
    <n v="3.8"/>
    <n v="126"/>
    <n v="20"/>
    <n v="8"/>
    <n v="2"/>
    <n v="2"/>
    <n v="2018"/>
    <n v="26.92307692"/>
    <n v="8151"/>
    <n v="23.99"/>
    <n v="4.3"/>
    <n v="12.55"/>
    <n v="89.99"/>
    <n v="4.0999999999999996"/>
    <n v="16.307647060000001"/>
    <n v="58.99"/>
    <n v="3.9"/>
    <n v="19.574999999999999"/>
    <n v="84.99"/>
    <n v="84.99"/>
    <n v="84.99"/>
    <n v="16.206008583690988"/>
  </r>
  <r>
    <x v="18"/>
    <x v="3"/>
    <x v="10"/>
    <n v="4"/>
    <n v="339.96"/>
    <n v="16.375"/>
    <n v="84.99"/>
    <x v="2"/>
    <n v="1495"/>
    <n v="3"/>
    <n v="600"/>
    <n v="3.8"/>
    <n v="169"/>
    <n v="22"/>
    <n v="9"/>
    <n v="1"/>
    <n v="3"/>
    <n v="2018"/>
    <n v="15.38461538"/>
    <n v="8151"/>
    <n v="23.99"/>
    <n v="4.3"/>
    <n v="14.19875"/>
    <n v="83.74"/>
    <n v="4.0999999999999996"/>
    <n v="11.876875"/>
    <n v="58.99"/>
    <n v="3.9"/>
    <n v="15.228"/>
    <n v="84.99"/>
    <n v="84.99"/>
    <n v="84.99"/>
    <n v="16.166666666666668"/>
  </r>
  <r>
    <x v="18"/>
    <x v="3"/>
    <x v="13"/>
    <n v="2"/>
    <n v="169.98"/>
    <n v="22.08"/>
    <n v="84.99"/>
    <x v="2"/>
    <n v="1495"/>
    <n v="3"/>
    <n v="600"/>
    <n v="3.8"/>
    <n v="131"/>
    <n v="21"/>
    <n v="9"/>
    <n v="0"/>
    <n v="6"/>
    <n v="2018"/>
    <n v="7.692307692"/>
    <n v="8151"/>
    <n v="23.99"/>
    <n v="4.3"/>
    <n v="16.27"/>
    <n v="79.989999999999995"/>
    <n v="4.0999999999999996"/>
    <n v="13.36230769"/>
    <n v="58.99"/>
    <n v="3.9"/>
    <n v="16.43"/>
    <n v="84.94"/>
    <n v="84.99"/>
    <n v="84.99"/>
    <n v="16.114893617021277"/>
  </r>
  <r>
    <x v="19"/>
    <x v="1"/>
    <x v="18"/>
    <n v="1"/>
    <n v="179.99"/>
    <n v="33.54"/>
    <n v="179.99"/>
    <x v="9"/>
    <n v="2188"/>
    <n v="2"/>
    <n v="7650"/>
    <n v="4.2"/>
    <n v="3"/>
    <n v="20"/>
    <n v="8"/>
    <n v="2"/>
    <n v="2"/>
    <n v="2017"/>
    <n v="8.942307692"/>
    <n v="8000"/>
    <n v="179.99"/>
    <n v="4.2"/>
    <n v="33.54"/>
    <n v="179.99"/>
    <n v="4.2"/>
    <n v="33.54"/>
    <n v="179.99"/>
    <n v="4.2"/>
    <n v="33.54"/>
    <n v="179.94"/>
    <n v="179.99"/>
    <s v=""/>
    <n v="16.055084745762713"/>
  </r>
  <r>
    <x v="19"/>
    <x v="1"/>
    <x v="17"/>
    <n v="3"/>
    <n v="539.97"/>
    <n v="36.643333329999997"/>
    <n v="179.99"/>
    <x v="9"/>
    <n v="2188"/>
    <n v="2"/>
    <n v="7650"/>
    <n v="4.2"/>
    <n v="17"/>
    <n v="20"/>
    <n v="10"/>
    <n v="2"/>
    <n v="4"/>
    <n v="2017"/>
    <n v="10.801282049999999"/>
    <n v="8000"/>
    <n v="179.99"/>
    <n v="4.2"/>
    <n v="36.643333329999997"/>
    <n v="179.99"/>
    <n v="4.2"/>
    <n v="36.643333329999997"/>
    <n v="179.99"/>
    <n v="4.2"/>
    <n v="36.643333329999997"/>
    <n v="179.94"/>
    <n v="179.99"/>
    <n v="179.99"/>
    <n v="15.9915611814346"/>
  </r>
  <r>
    <x v="19"/>
    <x v="1"/>
    <x v="4"/>
    <n v="2"/>
    <n v="359.98"/>
    <n v="26.88"/>
    <n v="179.99"/>
    <x v="9"/>
    <n v="2188"/>
    <n v="2"/>
    <n v="7650"/>
    <n v="4.2"/>
    <n v="115"/>
    <n v="21"/>
    <n v="9"/>
    <n v="1"/>
    <n v="9"/>
    <n v="2017"/>
    <n v="5"/>
    <n v="8000"/>
    <n v="59.9"/>
    <n v="4.0999999999999996"/>
    <n v="17.187027029999999"/>
    <n v="59.9"/>
    <n v="4.2"/>
    <n v="16.811764709999999"/>
    <n v="59.9"/>
    <n v="4.0999999999999996"/>
    <n v="16.29461538"/>
    <n v="179.94"/>
    <n v="179.99"/>
    <n v="179.99"/>
    <n v="15.936974789915967"/>
  </r>
  <r>
    <x v="19"/>
    <x v="1"/>
    <x v="5"/>
    <n v="6"/>
    <n v="1079.94"/>
    <n v="36.756666670000001"/>
    <n v="179.99"/>
    <x v="9"/>
    <n v="2188"/>
    <n v="2"/>
    <n v="7650"/>
    <n v="4.2"/>
    <n v="146"/>
    <n v="22"/>
    <n v="9"/>
    <n v="2"/>
    <n v="10"/>
    <n v="2017"/>
    <n v="15"/>
    <n v="8000"/>
    <n v="59.9"/>
    <n v="4.0999999999999996"/>
    <n v="18.065897440000001"/>
    <n v="59.9"/>
    <n v="4.2"/>
    <n v="17.595483869999999"/>
    <n v="59.9"/>
    <n v="4.0999999999999996"/>
    <n v="16.814166669999999"/>
    <n v="179.99"/>
    <n v="179.99"/>
    <n v="179.99"/>
    <n v="15.878661087866108"/>
  </r>
  <r>
    <x v="19"/>
    <x v="1"/>
    <x v="6"/>
    <n v="13"/>
    <n v="2339.87"/>
    <n v="43.14153846"/>
    <n v="179.99"/>
    <x v="9"/>
    <n v="2188"/>
    <n v="2"/>
    <n v="7650"/>
    <n v="4.2"/>
    <n v="339"/>
    <n v="22"/>
    <n v="8"/>
    <n v="4"/>
    <n v="11"/>
    <n v="2017"/>
    <n v="32.5"/>
    <n v="8000"/>
    <n v="52.406944439999997"/>
    <n v="4.0999999999999996"/>
    <n v="17.06747253"/>
    <n v="53.648281249999997"/>
    <n v="4.2"/>
    <n v="16.075862069999999"/>
    <n v="53.785714290000001"/>
    <n v="4.0999999999999996"/>
    <n v="18.27550725"/>
    <n v="179.99"/>
    <n v="179.98999999999998"/>
    <n v="179.99"/>
    <n v="15.8375"/>
  </r>
  <r>
    <x v="19"/>
    <x v="1"/>
    <x v="7"/>
    <n v="15"/>
    <n v="2759.85"/>
    <n v="47.594000000000001"/>
    <n v="183.99"/>
    <x v="9"/>
    <n v="2188"/>
    <n v="2"/>
    <n v="7650"/>
    <n v="4.2"/>
    <n v="184"/>
    <n v="21"/>
    <n v="10"/>
    <n v="1"/>
    <n v="12"/>
    <n v="2017"/>
    <n v="37.5"/>
    <n v="8000"/>
    <n v="55.1"/>
    <n v="4.0999999999999996"/>
    <n v="15.759607839999999"/>
    <n v="55.424999999999997"/>
    <n v="4.2"/>
    <n v="19.184374999999999"/>
    <n v="55.75"/>
    <n v="4.0999999999999996"/>
    <n v="17.267272729999998"/>
    <n v="179.99"/>
    <n v="183.98999999999998"/>
    <n v="179.98999999999998"/>
    <n v="15.825726141078839"/>
  </r>
  <r>
    <x v="19"/>
    <x v="1"/>
    <x v="8"/>
    <n v="14"/>
    <n v="2629.96"/>
    <n v="38.53785714"/>
    <n v="187.85428569999999"/>
    <x v="9"/>
    <n v="2188"/>
    <n v="2"/>
    <n v="7650"/>
    <n v="4.2"/>
    <n v="137"/>
    <n v="23"/>
    <n v="8"/>
    <n v="2"/>
    <n v="1"/>
    <n v="2018"/>
    <n v="17.948717949999999"/>
    <n v="8000"/>
    <n v="49.9"/>
    <n v="4.0999999999999996"/>
    <n v="19.495000000000001"/>
    <n v="49.9"/>
    <n v="4.2"/>
    <n v="15.841034479999999"/>
    <n v="49.9"/>
    <n v="4.0999999999999996"/>
    <n v="16.505128209999999"/>
    <n v="183.99"/>
    <n v="187.85428571428571"/>
    <n v="183.98999999999998"/>
    <n v="15.822314049586776"/>
  </r>
  <r>
    <x v="19"/>
    <x v="1"/>
    <x v="9"/>
    <n v="12"/>
    <n v="2148"/>
    <n v="47.825833330000002"/>
    <n v="179"/>
    <x v="9"/>
    <n v="2188"/>
    <n v="2"/>
    <n v="7650"/>
    <n v="4.2"/>
    <n v="160"/>
    <n v="20"/>
    <n v="8"/>
    <n v="2"/>
    <n v="2"/>
    <n v="2018"/>
    <n v="8.942307692"/>
    <n v="8000"/>
    <n v="50.545161290000003"/>
    <n v="4.0999999999999996"/>
    <n v="16.611538459999998"/>
    <n v="50.9"/>
    <n v="4.2"/>
    <n v="17.519444440000001"/>
    <n v="50.357142860000003"/>
    <n v="4.0999999999999996"/>
    <n v="18.281874999999999"/>
    <n v="187.85428569999999"/>
    <n v="179"/>
    <n v="187.85428571428571"/>
    <n v="15.814814814814815"/>
  </r>
  <r>
    <x v="19"/>
    <x v="1"/>
    <x v="10"/>
    <n v="13"/>
    <n v="2277"/>
    <n v="57.298461539999998"/>
    <n v="175.1538462"/>
    <x v="9"/>
    <n v="2188"/>
    <n v="2"/>
    <n v="7650"/>
    <n v="4.2"/>
    <n v="116"/>
    <n v="22"/>
    <n v="9"/>
    <n v="1"/>
    <n v="3"/>
    <n v="2018"/>
    <n v="16.666666670000001"/>
    <n v="8000"/>
    <n v="53.9"/>
    <n v="4.0999999999999996"/>
    <n v="20.359677420000001"/>
    <n v="53.9"/>
    <n v="4.2"/>
    <n v="21.852857140000001"/>
    <n v="53.9"/>
    <n v="4.0999999999999996"/>
    <n v="19.024230769999999"/>
    <n v="179"/>
    <n v="175.15384615384616"/>
    <n v="179"/>
    <n v="15.799180327868852"/>
  </r>
  <r>
    <x v="19"/>
    <x v="1"/>
    <x v="11"/>
    <n v="11"/>
    <n v="1969"/>
    <n v="28.63272727"/>
    <n v="179"/>
    <x v="9"/>
    <n v="2188"/>
    <n v="2"/>
    <n v="7650"/>
    <n v="4.2"/>
    <n v="111"/>
    <n v="21"/>
    <n v="9"/>
    <n v="1"/>
    <n v="4"/>
    <n v="2018"/>
    <n v="10.801282049999999"/>
    <n v="8000"/>
    <n v="53.9"/>
    <n v="4.0999999999999996"/>
    <n v="5.2817391300000001"/>
    <n v="53.9"/>
    <n v="4.2"/>
    <n v="19.46846154"/>
    <n v="53.9"/>
    <n v="4.0999999999999996"/>
    <n v="19.071428569999998"/>
    <n v="175.1538462"/>
    <n v="179"/>
    <n v="175.15384615384616"/>
    <n v="15.787755102040816"/>
  </r>
  <r>
    <x v="19"/>
    <x v="1"/>
    <x v="12"/>
    <n v="3"/>
    <n v="537"/>
    <n v="24.37"/>
    <n v="179"/>
    <x v="9"/>
    <n v="2188"/>
    <n v="2"/>
    <n v="7650"/>
    <n v="4.2"/>
    <n v="102"/>
    <n v="23"/>
    <n v="8"/>
    <n v="3"/>
    <n v="5"/>
    <n v="2018"/>
    <n v="3.846153846"/>
    <n v="8000"/>
    <n v="53.415151520000002"/>
    <n v="4.0999999999999996"/>
    <n v="10.753035710000001"/>
    <n v="53.70952381"/>
    <n v="4.2"/>
    <n v="13.510344829999999"/>
    <n v="53.057894740000002"/>
    <n v="4.0999999999999996"/>
    <n v="12.98"/>
    <n v="179"/>
    <n v="179"/>
    <n v="179"/>
    <n v="15.768292682926829"/>
  </r>
  <r>
    <x v="19"/>
    <x v="1"/>
    <x v="13"/>
    <n v="10"/>
    <n v="1590"/>
    <n v="54.762999999999998"/>
    <n v="159"/>
    <x v="9"/>
    <n v="2188"/>
    <n v="2"/>
    <n v="7650"/>
    <n v="4.2"/>
    <n v="58"/>
    <n v="21"/>
    <n v="9"/>
    <n v="0"/>
    <n v="6"/>
    <n v="2018"/>
    <n v="12.820512819999999"/>
    <n v="8000"/>
    <n v="49.9"/>
    <n v="4.0999999999999996"/>
    <n v="19.89083333"/>
    <n v="49.9"/>
    <n v="4.2"/>
    <n v="23.251666669999999"/>
    <n v="49.9"/>
    <n v="4.0999999999999996"/>
    <n v="22.878666670000001"/>
    <n v="179"/>
    <n v="159"/>
    <n v="179"/>
    <n v="15.7165991902834"/>
  </r>
  <r>
    <x v="19"/>
    <x v="1"/>
    <x v="14"/>
    <n v="8"/>
    <n v="1112"/>
    <n v="48.628749999999997"/>
    <n v="139"/>
    <x v="9"/>
    <n v="2188"/>
    <n v="2"/>
    <n v="7650"/>
    <n v="4.2"/>
    <n v="54"/>
    <n v="22"/>
    <n v="9"/>
    <n v="1"/>
    <n v="7"/>
    <n v="2018"/>
    <n v="10.256410259999999"/>
    <n v="8000"/>
    <n v="49.91"/>
    <n v="4.0999999999999996"/>
    <n v="28.373333330000001"/>
    <n v="49.9"/>
    <n v="4.2"/>
    <n v="33.281428570000003"/>
    <n v="49.9"/>
    <n v="4.0999999999999996"/>
    <n v="20.99"/>
    <n v="159"/>
    <n v="139"/>
    <n v="159"/>
    <n v="15.693548387096774"/>
  </r>
  <r>
    <x v="19"/>
    <x v="1"/>
    <x v="15"/>
    <n v="7"/>
    <n v="973"/>
    <n v="73.59"/>
    <n v="139"/>
    <x v="9"/>
    <n v="2188"/>
    <n v="2"/>
    <n v="7650"/>
    <n v="4.2"/>
    <n v="46"/>
    <n v="23"/>
    <n v="8"/>
    <n v="1"/>
    <n v="8"/>
    <n v="2018"/>
    <n v="8.9743589739999994"/>
    <n v="8000"/>
    <n v="49.91"/>
    <n v="4.0999999999999996"/>
    <n v="20.32833333"/>
    <n v="49.9"/>
    <n v="4.2"/>
    <n v="36.442"/>
    <n v="49.9"/>
    <n v="4.0999999999999996"/>
    <n v="32.32"/>
    <n v="139"/>
    <n v="139"/>
    <n v="139"/>
    <n v="15.662650602409638"/>
  </r>
  <r>
    <x v="20"/>
    <x v="1"/>
    <x v="17"/>
    <n v="3"/>
    <n v="179.7"/>
    <n v="18.393333330000001"/>
    <n v="59.9"/>
    <x v="12"/>
    <n v="340"/>
    <n v="2"/>
    <n v="1500"/>
    <n v="4"/>
    <n v="17"/>
    <n v="20"/>
    <n v="10"/>
    <n v="2"/>
    <n v="4"/>
    <n v="2017"/>
    <n v="7.139686298"/>
    <n v="19800"/>
    <n v="59.9"/>
    <n v="4"/>
    <n v="18.393333330000001"/>
    <n v="59.9"/>
    <n v="4"/>
    <n v="18.393333330000001"/>
    <n v="59.9"/>
    <n v="4"/>
    <n v="18.393333330000001"/>
    <n v="59.85"/>
    <n v="59.9"/>
    <s v=""/>
    <n v="15.628"/>
  </r>
  <r>
    <x v="20"/>
    <x v="1"/>
    <x v="0"/>
    <n v="7"/>
    <n v="419.3"/>
    <n v="15.79428571"/>
    <n v="59.9"/>
    <x v="12"/>
    <n v="340"/>
    <n v="2"/>
    <n v="1500"/>
    <n v="4"/>
    <n v="34"/>
    <n v="23"/>
    <n v="8"/>
    <n v="1"/>
    <n v="5"/>
    <n v="2017"/>
    <n v="7.0893755550000002"/>
    <n v="19800"/>
    <n v="59.9"/>
    <n v="4.0999999999999996"/>
    <n v="19.732500000000002"/>
    <n v="59.9"/>
    <n v="4.2"/>
    <n v="26.24666667"/>
    <n v="59.9"/>
    <n v="4"/>
    <n v="15.79428571"/>
    <n v="59.9"/>
    <n v="59.9"/>
    <n v="59.9"/>
    <n v="15.577689243027889"/>
  </r>
  <r>
    <x v="20"/>
    <x v="1"/>
    <x v="1"/>
    <n v="4"/>
    <n v="239.6"/>
    <n v="16.612500000000001"/>
    <n v="59.9"/>
    <x v="12"/>
    <n v="340"/>
    <n v="2"/>
    <n v="1500"/>
    <n v="4"/>
    <n v="26"/>
    <n v="22"/>
    <n v="8"/>
    <n v="1"/>
    <n v="6"/>
    <n v="2017"/>
    <n v="3.4980763540000002"/>
    <n v="19800"/>
    <n v="59.9"/>
    <n v="4.0999999999999996"/>
    <n v="17.670000000000002"/>
    <n v="59.9"/>
    <n v="4.2"/>
    <n v="16.260000000000002"/>
    <n v="59.9"/>
    <n v="4"/>
    <n v="16.612500000000001"/>
    <n v="59.9"/>
    <n v="59.9"/>
    <n v="59.9"/>
    <n v="15.543650793650794"/>
  </r>
  <r>
    <x v="20"/>
    <x v="1"/>
    <x v="2"/>
    <n v="19"/>
    <n v="1138.0999999999999"/>
    <n v="16.03052632"/>
    <n v="59.9"/>
    <x v="12"/>
    <n v="340"/>
    <n v="2"/>
    <n v="1500"/>
    <n v="4"/>
    <n v="74"/>
    <n v="21"/>
    <n v="10"/>
    <n v="1"/>
    <n v="7"/>
    <n v="2017"/>
    <n v="7.2610239720000003"/>
    <n v="19800"/>
    <n v="59.9"/>
    <n v="4.0999999999999996"/>
    <n v="16.626428570000002"/>
    <n v="59.9"/>
    <n v="4.2"/>
    <n v="16.111578949999998"/>
    <n v="59.9"/>
    <n v="4.0999999999999996"/>
    <n v="15.392307690000001"/>
    <n v="59.9"/>
    <n v="59.9"/>
    <n v="59.9"/>
    <n v="15.49802371541502"/>
  </r>
  <r>
    <x v="20"/>
    <x v="1"/>
    <x v="3"/>
    <n v="21"/>
    <n v="1257.9000000000001"/>
    <n v="18.83142857"/>
    <n v="59.9"/>
    <x v="12"/>
    <n v="340"/>
    <n v="2"/>
    <n v="1500"/>
    <n v="4"/>
    <n v="113"/>
    <n v="23"/>
    <n v="8"/>
    <n v="1"/>
    <n v="8"/>
    <n v="2017"/>
    <n v="7.0745782779999997"/>
    <n v="19800"/>
    <n v="59.9"/>
    <n v="4.0999999999999996"/>
    <n v="18.162307689999999"/>
    <n v="59.9"/>
    <n v="4.2"/>
    <n v="17.68111111"/>
    <n v="59.9"/>
    <n v="4.0999999999999996"/>
    <n v="18.05043478"/>
    <n v="59.9"/>
    <n v="59.900000000000006"/>
    <n v="59.9"/>
    <n v="15.511811023622048"/>
  </r>
  <r>
    <x v="20"/>
    <x v="1"/>
    <x v="4"/>
    <n v="23"/>
    <n v="1377.7"/>
    <n v="18.643478259999998"/>
    <n v="59.9"/>
    <x v="12"/>
    <n v="340"/>
    <n v="2"/>
    <n v="1500"/>
    <n v="4"/>
    <n v="115"/>
    <n v="21"/>
    <n v="9"/>
    <n v="1"/>
    <n v="9"/>
    <n v="2017"/>
    <n v="10.55045872"/>
    <n v="19800"/>
    <n v="59.9"/>
    <n v="4.0999999999999996"/>
    <n v="17.187027029999999"/>
    <n v="59.9"/>
    <n v="4.2"/>
    <n v="16.811764709999999"/>
    <n v="59.9"/>
    <n v="4.0999999999999996"/>
    <n v="16.29461538"/>
    <n v="59.9"/>
    <n v="59.9"/>
    <n v="59.900000000000006"/>
    <n v="15.533333333333333"/>
  </r>
  <r>
    <x v="20"/>
    <x v="1"/>
    <x v="5"/>
    <n v="19"/>
    <n v="1138.0999999999999"/>
    <n v="17.730526319999999"/>
    <n v="59.9"/>
    <x v="12"/>
    <n v="340"/>
    <n v="2"/>
    <n v="1500"/>
    <n v="4"/>
    <n v="146"/>
    <n v="22"/>
    <n v="9"/>
    <n v="2"/>
    <n v="10"/>
    <n v="2017"/>
    <n v="8.7155963300000003"/>
    <n v="19800"/>
    <n v="59.9"/>
    <n v="4.0999999999999996"/>
    <n v="18.065897440000001"/>
    <n v="59.9"/>
    <n v="4.2"/>
    <n v="17.595483869999999"/>
    <n v="59.9"/>
    <n v="4.0999999999999996"/>
    <n v="16.814166669999999"/>
    <n v="59.9"/>
    <n v="59.9"/>
    <n v="59.9"/>
    <n v="15.5625"/>
  </r>
  <r>
    <x v="20"/>
    <x v="1"/>
    <x v="6"/>
    <n v="82"/>
    <n v="4397.7"/>
    <n v="17.807804879999999"/>
    <n v="53.379104480000002"/>
    <x v="12"/>
    <n v="340"/>
    <n v="2"/>
    <n v="1500"/>
    <n v="4"/>
    <n v="339"/>
    <n v="22"/>
    <n v="8"/>
    <n v="4"/>
    <n v="11"/>
    <n v="2017"/>
    <n v="37.614678900000001"/>
    <n v="19800"/>
    <n v="52.406944439999997"/>
    <n v="4.0999999999999996"/>
    <n v="17.06747253"/>
    <n v="53.648281249999997"/>
    <n v="4.2"/>
    <n v="16.075862069999999"/>
    <n v="53.785714290000001"/>
    <n v="4.0999999999999996"/>
    <n v="18.27550725"/>
    <n v="59.9"/>
    <n v="53.630487804878044"/>
    <n v="59.9"/>
    <n v="15.575875486381323"/>
  </r>
  <r>
    <x v="20"/>
    <x v="1"/>
    <x v="7"/>
    <n v="40"/>
    <n v="2232.6"/>
    <n v="17.517499999999998"/>
    <n v="55.770967740000003"/>
    <x v="12"/>
    <n v="340"/>
    <n v="2"/>
    <n v="1500"/>
    <n v="4"/>
    <n v="184"/>
    <n v="21"/>
    <n v="10"/>
    <n v="1"/>
    <n v="12"/>
    <n v="2017"/>
    <n v="18.348623849999999"/>
    <n v="19800"/>
    <n v="55.1"/>
    <n v="4.0999999999999996"/>
    <n v="15.759607839999999"/>
    <n v="55.424999999999997"/>
    <n v="4.2"/>
    <n v="19.184374999999999"/>
    <n v="55.75"/>
    <n v="4.0999999999999996"/>
    <n v="17.267272729999998"/>
    <n v="53.379104480000002"/>
    <n v="55.814999999999998"/>
    <n v="53.630487804878044"/>
    <n v="15.833333333333334"/>
  </r>
  <r>
    <x v="20"/>
    <x v="1"/>
    <x v="8"/>
    <n v="25"/>
    <n v="1247.5"/>
    <n v="17.7532"/>
    <n v="49.9"/>
    <x v="12"/>
    <n v="340"/>
    <n v="2"/>
    <n v="1500"/>
    <n v="4"/>
    <n v="137"/>
    <n v="23"/>
    <n v="8"/>
    <n v="2"/>
    <n v="1"/>
    <n v="2018"/>
    <n v="16.129032259999999"/>
    <n v="19800"/>
    <n v="49.9"/>
    <n v="4.0999999999999996"/>
    <n v="19.495000000000001"/>
    <n v="49.9"/>
    <n v="4.2"/>
    <n v="15.841034479999999"/>
    <n v="49.9"/>
    <n v="4.0999999999999996"/>
    <n v="16.505128209999999"/>
    <n v="55.770967740000003"/>
    <n v="49.9"/>
    <n v="55.814999999999998"/>
    <n v="15.926640926640927"/>
  </r>
  <r>
    <x v="20"/>
    <x v="1"/>
    <x v="9"/>
    <n v="44"/>
    <n v="2247.6"/>
    <n v="16.283409089999999"/>
    <n v="51.024999999999999"/>
    <x v="12"/>
    <n v="340"/>
    <n v="2"/>
    <n v="1500"/>
    <n v="4"/>
    <n v="160"/>
    <n v="20"/>
    <n v="8"/>
    <n v="2"/>
    <n v="2"/>
    <n v="2018"/>
    <n v="28.387096769999999"/>
    <n v="19800"/>
    <n v="50.545161290000003"/>
    <n v="4.0999999999999996"/>
    <n v="16.611538459999998"/>
    <n v="50.9"/>
    <n v="4.2"/>
    <n v="17.519444440000001"/>
    <n v="50.357142860000003"/>
    <n v="4.0999999999999996"/>
    <n v="18.281874999999999"/>
    <n v="49.9"/>
    <n v="51.081818181818178"/>
    <n v="49.9"/>
    <n v="15.961538461538462"/>
  </r>
  <r>
    <x v="20"/>
    <x v="1"/>
    <x v="10"/>
    <n v="25"/>
    <n v="1347.5"/>
    <n v="19.264800000000001"/>
    <n v="53.9"/>
    <x v="12"/>
    <n v="340"/>
    <n v="2"/>
    <n v="1500"/>
    <n v="4"/>
    <n v="116"/>
    <n v="22"/>
    <n v="9"/>
    <n v="1"/>
    <n v="3"/>
    <n v="2018"/>
    <n v="16.129032259999999"/>
    <n v="19800"/>
    <n v="53.9"/>
    <n v="4.0999999999999996"/>
    <n v="20.359677420000001"/>
    <n v="53.9"/>
    <n v="4.2"/>
    <n v="21.852857140000001"/>
    <n v="53.9"/>
    <n v="4.0999999999999996"/>
    <n v="19.024230769999999"/>
    <n v="51.024999999999999"/>
    <n v="53.9"/>
    <n v="51.081818181818178"/>
    <n v="16.068965517241381"/>
  </r>
  <r>
    <x v="20"/>
    <x v="1"/>
    <x v="11"/>
    <n v="20"/>
    <n v="1078"/>
    <n v="20.562999999999999"/>
    <n v="53.9"/>
    <x v="12"/>
    <n v="340"/>
    <n v="2"/>
    <n v="1500"/>
    <n v="4"/>
    <n v="111"/>
    <n v="21"/>
    <n v="9"/>
    <n v="1"/>
    <n v="4"/>
    <n v="2018"/>
    <n v="7.139686298"/>
    <n v="19800"/>
    <n v="53.9"/>
    <n v="4.0999999999999996"/>
    <n v="5.2817391300000001"/>
    <n v="53.9"/>
    <n v="4.2"/>
    <n v="19.46846154"/>
    <n v="53.9"/>
    <n v="4.0999999999999996"/>
    <n v="19.071428569999998"/>
    <n v="53.9"/>
    <n v="53.9"/>
    <n v="53.9"/>
    <n v="16.103053435114504"/>
  </r>
  <r>
    <x v="20"/>
    <x v="1"/>
    <x v="12"/>
    <n v="17"/>
    <n v="888.3"/>
    <n v="14.388235290000001"/>
    <n v="52.566666669999996"/>
    <x v="12"/>
    <n v="340"/>
    <n v="2"/>
    <n v="1500"/>
    <n v="4"/>
    <n v="102"/>
    <n v="23"/>
    <n v="8"/>
    <n v="3"/>
    <n v="5"/>
    <n v="2018"/>
    <n v="7.0893755550000002"/>
    <n v="19800"/>
    <n v="53.415151520000002"/>
    <n v="4.0999999999999996"/>
    <n v="10.753035710000001"/>
    <n v="53.70952381"/>
    <n v="4.2"/>
    <n v="13.510344829999999"/>
    <n v="53.057894740000002"/>
    <n v="4.0999999999999996"/>
    <n v="12.98"/>
    <n v="53.9"/>
    <n v="52.252941176470586"/>
    <n v="53.9"/>
    <n v="16.117870722433459"/>
  </r>
  <r>
    <x v="20"/>
    <x v="1"/>
    <x v="13"/>
    <n v="8"/>
    <n v="399.2"/>
    <n v="29.786249999999999"/>
    <n v="49.9"/>
    <x v="12"/>
    <n v="340"/>
    <n v="2"/>
    <n v="1500"/>
    <n v="4"/>
    <n v="58"/>
    <n v="21"/>
    <n v="9"/>
    <n v="0"/>
    <n v="6"/>
    <n v="2018"/>
    <n v="3.4980763540000002"/>
    <n v="19800"/>
    <n v="49.9"/>
    <n v="4.0999999999999996"/>
    <n v="19.89083333"/>
    <n v="49.9"/>
    <n v="4.2"/>
    <n v="23.251666669999999"/>
    <n v="49.9"/>
    <n v="4.0999999999999996"/>
    <n v="22.878666670000001"/>
    <n v="52.566666669999996"/>
    <n v="49.9"/>
    <n v="52.252941176470586"/>
    <n v="16.121212121212121"/>
  </r>
  <r>
    <x v="20"/>
    <x v="1"/>
    <x v="14"/>
    <n v="9"/>
    <n v="449.1"/>
    <n v="27.77"/>
    <n v="49.9"/>
    <x v="12"/>
    <n v="340"/>
    <n v="2"/>
    <n v="1500"/>
    <n v="4"/>
    <n v="54"/>
    <n v="22"/>
    <n v="9"/>
    <n v="1"/>
    <n v="7"/>
    <n v="2018"/>
    <n v="7.2610239720000003"/>
    <n v="19800"/>
    <n v="49.91"/>
    <n v="4.0999999999999996"/>
    <n v="28.373333330000001"/>
    <n v="49.9"/>
    <n v="4.2"/>
    <n v="33.281428570000003"/>
    <n v="49.9"/>
    <n v="4.0999999999999996"/>
    <n v="20.99"/>
    <n v="49.9"/>
    <n v="49.900000000000006"/>
    <n v="49.9"/>
    <n v="16.090566037735851"/>
  </r>
  <r>
    <x v="20"/>
    <x v="1"/>
    <x v="15"/>
    <n v="7"/>
    <n v="349.3"/>
    <n v="33.74"/>
    <n v="49.9"/>
    <x v="12"/>
    <n v="340"/>
    <n v="2"/>
    <n v="1500"/>
    <n v="4"/>
    <n v="46"/>
    <n v="23"/>
    <n v="8"/>
    <n v="1"/>
    <n v="8"/>
    <n v="2018"/>
    <n v="7.0745782779999997"/>
    <n v="19800"/>
    <n v="49.91"/>
    <n v="4.0999999999999996"/>
    <n v="20.32833333"/>
    <n v="49.9"/>
    <n v="4.2"/>
    <n v="36.442"/>
    <n v="49.9"/>
    <n v="4.0999999999999996"/>
    <n v="32.32"/>
    <n v="49.9"/>
    <n v="49.9"/>
    <n v="49.900000000000006"/>
    <n v="16.063909774436091"/>
  </r>
  <r>
    <x v="21"/>
    <x v="7"/>
    <x v="1"/>
    <n v="4"/>
    <n v="652"/>
    <n v="14.265000000000001"/>
    <n v="163"/>
    <x v="9"/>
    <n v="523"/>
    <n v="3"/>
    <n v="584"/>
    <n v="4.2"/>
    <n v="17"/>
    <n v="22"/>
    <n v="8"/>
    <n v="1"/>
    <n v="6"/>
    <n v="2017"/>
    <n v="4.7812757929999998"/>
    <n v="2288"/>
    <n v="163"/>
    <n v="4.2"/>
    <n v="14.265000000000001"/>
    <n v="163"/>
    <n v="4.2"/>
    <n v="14.265000000000001"/>
    <n v="185"/>
    <n v="3.8"/>
    <n v="14.74"/>
    <n v="162.94999999999999"/>
    <n v="163"/>
    <s v=""/>
    <n v="16.029962546816478"/>
  </r>
  <r>
    <x v="21"/>
    <x v="7"/>
    <x v="2"/>
    <n v="11"/>
    <n v="1777.5"/>
    <n v="15.525454549999999"/>
    <n v="161.5909091"/>
    <x v="9"/>
    <n v="523"/>
    <n v="3"/>
    <n v="584"/>
    <n v="4.2"/>
    <n v="29"/>
    <n v="21"/>
    <n v="10"/>
    <n v="1"/>
    <n v="7"/>
    <n v="2017"/>
    <n v="10.47341115"/>
    <n v="2288"/>
    <n v="161.5909091"/>
    <n v="4.2"/>
    <n v="15.525454549999999"/>
    <n v="161.5909091"/>
    <n v="4.2"/>
    <n v="15.525454549999999"/>
    <n v="197.38300000000001"/>
    <n v="3.8"/>
    <n v="16.606000000000002"/>
    <n v="163"/>
    <n v="161.59090909090909"/>
    <n v="163"/>
    <n v="15.985074626865671"/>
  </r>
  <r>
    <x v="21"/>
    <x v="7"/>
    <x v="3"/>
    <n v="13"/>
    <n v="2088.6999999999998"/>
    <n v="15.185384620000001"/>
    <n v="160.66923080000001"/>
    <x v="9"/>
    <n v="523"/>
    <n v="3"/>
    <n v="584"/>
    <n v="4.2"/>
    <n v="48"/>
    <n v="23"/>
    <n v="8"/>
    <n v="1"/>
    <n v="8"/>
    <n v="2017"/>
    <n v="10.043037379999999"/>
    <n v="2288"/>
    <n v="160.66923080000001"/>
    <n v="4.2"/>
    <n v="15.185384620000001"/>
    <n v="160.66923080000001"/>
    <n v="4.2"/>
    <n v="15.185384620000001"/>
    <n v="179.9"/>
    <n v="3.8"/>
    <n v="14.926666669999999"/>
    <n v="161.5909091"/>
    <n v="160.66923076923075"/>
    <n v="161.59090909090909"/>
    <n v="15.966542750929367"/>
  </r>
  <r>
    <x v="21"/>
    <x v="7"/>
    <x v="4"/>
    <n v="18"/>
    <n v="2762.5"/>
    <n v="14.041111109999999"/>
    <n v="148.7785714"/>
    <x v="9"/>
    <n v="523"/>
    <n v="3"/>
    <n v="584"/>
    <n v="4.2"/>
    <n v="54"/>
    <n v="21"/>
    <n v="9"/>
    <n v="1"/>
    <n v="9"/>
    <n v="2017"/>
    <n v="27.272727270000001"/>
    <n v="2288"/>
    <n v="148.7785714"/>
    <n v="4.2"/>
    <n v="14.041111109999999"/>
    <n v="148.7785714"/>
    <n v="4.2"/>
    <n v="14.041111109999999"/>
    <n v="164.57"/>
    <n v="3.8"/>
    <n v="19.527999999999999"/>
    <n v="160.66923080000001"/>
    <n v="153.47222222222223"/>
    <n v="160.66923076923075"/>
    <n v="15.955555555555556"/>
  </r>
  <r>
    <x v="21"/>
    <x v="7"/>
    <x v="5"/>
    <n v="1"/>
    <n v="134.9"/>
    <n v="6.81"/>
    <n v="134.9"/>
    <x v="9"/>
    <n v="523"/>
    <n v="3"/>
    <n v="584"/>
    <n v="4.2"/>
    <n v="43"/>
    <n v="22"/>
    <n v="9"/>
    <n v="2"/>
    <n v="10"/>
    <n v="2017"/>
    <n v="1.5151515149999999"/>
    <n v="2288"/>
    <n v="134.9"/>
    <n v="4.2"/>
    <n v="6.81"/>
    <n v="134.9"/>
    <n v="4.2"/>
    <n v="6.81"/>
    <n v="232.49"/>
    <n v="3.8"/>
    <n v="14.2125"/>
    <n v="148.7785714"/>
    <n v="134.9"/>
    <n v="153.47222222222223"/>
    <n v="15.963099630996309"/>
  </r>
  <r>
    <x v="21"/>
    <x v="7"/>
    <x v="6"/>
    <n v="15"/>
    <n v="1995"/>
    <n v="19.916666670000001"/>
    <n v="133"/>
    <x v="9"/>
    <n v="523"/>
    <n v="3"/>
    <n v="584"/>
    <n v="4.2"/>
    <n v="91"/>
    <n v="22"/>
    <n v="8"/>
    <n v="4"/>
    <n v="11"/>
    <n v="2017"/>
    <n v="22.727272729999999"/>
    <n v="2288"/>
    <n v="133"/>
    <n v="4.2"/>
    <n v="19.916666670000001"/>
    <n v="108"/>
    <n v="4.2"/>
    <n v="15.908461539999999"/>
    <n v="174.43333329999999"/>
    <n v="3.8"/>
    <n v="20.992777780000001"/>
    <n v="134.9"/>
    <n v="133"/>
    <n v="134.9"/>
    <n v="15.908088235294118"/>
  </r>
  <r>
    <x v="21"/>
    <x v="7"/>
    <x v="7"/>
    <n v="4"/>
    <n v="596"/>
    <n v="19.100000000000001"/>
    <n v="149"/>
    <x v="9"/>
    <n v="523"/>
    <n v="3"/>
    <n v="584"/>
    <n v="4.2"/>
    <n v="73"/>
    <n v="21"/>
    <n v="10"/>
    <n v="1"/>
    <n v="12"/>
    <n v="2017"/>
    <n v="6.0606060609999997"/>
    <n v="2288"/>
    <n v="149"/>
    <n v="4.2"/>
    <n v="19.100000000000001"/>
    <n v="108"/>
    <n v="4.2"/>
    <n v="16.65384615"/>
    <n v="185.96"/>
    <n v="3.8"/>
    <n v="18.686"/>
    <n v="133"/>
    <n v="149"/>
    <n v="133"/>
    <n v="15.904761904761905"/>
  </r>
  <r>
    <x v="21"/>
    <x v="7"/>
    <x v="9"/>
    <n v="6"/>
    <n v="769.45"/>
    <n v="15.926666669999999"/>
    <n v="128.2416667"/>
    <x v="9"/>
    <n v="523"/>
    <n v="3"/>
    <n v="584"/>
    <n v="4.2"/>
    <n v="90"/>
    <n v="20"/>
    <n v="8"/>
    <n v="2"/>
    <n v="2"/>
    <n v="2018"/>
    <n v="2.3346303499999999"/>
    <n v="2288"/>
    <n v="128.2416667"/>
    <n v="4.2"/>
    <n v="15.926666669999999"/>
    <n v="108"/>
    <n v="4.2"/>
    <n v="18.253636360000002"/>
    <n v="182"/>
    <n v="3.8"/>
    <n v="19.329999999999998"/>
    <n v="128.19166670000001"/>
    <n v="128.24166666666667"/>
    <n v="149"/>
    <n v="15.861313868613138"/>
  </r>
  <r>
    <x v="21"/>
    <x v="7"/>
    <x v="10"/>
    <n v="31"/>
    <n v="3640.68"/>
    <n v="18.261290320000001"/>
    <n v="117.44129030000001"/>
    <x v="9"/>
    <n v="523"/>
    <n v="3"/>
    <n v="584"/>
    <n v="4.2"/>
    <n v="125"/>
    <n v="22"/>
    <n v="9"/>
    <n v="1"/>
    <n v="3"/>
    <n v="2018"/>
    <n v="12.062256809999999"/>
    <n v="2288"/>
    <n v="117.44129030000001"/>
    <n v="4.2"/>
    <n v="18.261290320000001"/>
    <n v="105.6428571"/>
    <n v="4.2"/>
    <n v="21.6652381"/>
    <n v="151.87843749999999"/>
    <n v="3.8"/>
    <n v="20.313749999999999"/>
    <n v="128.2416667"/>
    <n v="117.44129032258064"/>
    <n v="128.24166666666667"/>
    <n v="15.825454545454546"/>
  </r>
  <r>
    <x v="21"/>
    <x v="7"/>
    <x v="11"/>
    <n v="85"/>
    <n v="8961.49"/>
    <n v="2.1816470589999999"/>
    <n v="105.648625"/>
    <x v="9"/>
    <n v="523"/>
    <n v="3"/>
    <n v="584"/>
    <n v="4.2"/>
    <n v="178"/>
    <n v="21"/>
    <n v="9"/>
    <n v="1"/>
    <n v="4"/>
    <n v="2018"/>
    <n v="33.073929960000001"/>
    <n v="2288"/>
    <n v="105.648625"/>
    <n v="4.2"/>
    <n v="2.1816470589999999"/>
    <n v="105"/>
    <n v="4.2"/>
    <n v="13.631428570000001"/>
    <n v="150.1333333"/>
    <n v="3.8"/>
    <n v="19.447777779999999"/>
    <n v="117.44129030000001"/>
    <n v="105.42929411764706"/>
    <n v="117.44129032258064"/>
    <n v="15.880434782608695"/>
  </r>
  <r>
    <x v="21"/>
    <x v="7"/>
    <x v="12"/>
    <n v="114"/>
    <n v="11820.2"/>
    <n v="9.5438596000000001E-2"/>
    <n v="103.79252339999999"/>
    <x v="9"/>
    <n v="523"/>
    <n v="3"/>
    <n v="584"/>
    <n v="4.2"/>
    <n v="260"/>
    <n v="23"/>
    <n v="8"/>
    <n v="3"/>
    <n v="5"/>
    <n v="2018"/>
    <n v="44.357976649999998"/>
    <n v="2288"/>
    <n v="103.79252339999999"/>
    <n v="4.2"/>
    <n v="9.5438596000000001E-2"/>
    <n v="105"/>
    <n v="4.2"/>
    <n v="11.3772973"/>
    <n v="132.53125"/>
    <n v="3.8"/>
    <n v="15.7621875"/>
    <n v="105.648625"/>
    <n v="103.68596491228071"/>
    <n v="105.42929411764706"/>
    <n v="16.129963898916966"/>
  </r>
  <r>
    <x v="21"/>
    <x v="7"/>
    <x v="13"/>
    <n v="9"/>
    <n v="1071"/>
    <n v="19.206666670000001"/>
    <n v="119"/>
    <x v="9"/>
    <n v="523"/>
    <n v="3"/>
    <n v="584"/>
    <n v="4.2"/>
    <n v="93"/>
    <n v="21"/>
    <n v="9"/>
    <n v="0"/>
    <n v="6"/>
    <n v="2018"/>
    <n v="4.7812757929999998"/>
    <n v="2288"/>
    <n v="119"/>
    <n v="4.2"/>
    <n v="19.206666670000001"/>
    <n v="105"/>
    <n v="4.2"/>
    <n v="23.823571430000001"/>
    <n v="138.22"/>
    <n v="3.8"/>
    <n v="16.108000000000001"/>
    <n v="103.79252339999999"/>
    <n v="119"/>
    <n v="103.68596491228071"/>
    <n v="16.482014388489208"/>
  </r>
  <r>
    <x v="21"/>
    <x v="7"/>
    <x v="14"/>
    <n v="11"/>
    <n v="1302"/>
    <n v="15.48"/>
    <n v="118.3636364"/>
    <x v="9"/>
    <n v="523"/>
    <n v="3"/>
    <n v="584"/>
    <n v="4.2"/>
    <n v="122"/>
    <n v="22"/>
    <n v="9"/>
    <n v="1"/>
    <n v="7"/>
    <n v="2018"/>
    <n v="10.47341115"/>
    <n v="2288"/>
    <n v="118.3636364"/>
    <n v="4.2"/>
    <n v="15.48"/>
    <n v="105"/>
    <n v="4.2"/>
    <n v="24.938749999999999"/>
    <n v="155"/>
    <n v="3.8"/>
    <n v="16.47"/>
    <n v="119"/>
    <n v="118.36363636363636"/>
    <n v="119"/>
    <n v="16.455197132616487"/>
  </r>
  <r>
    <x v="21"/>
    <x v="7"/>
    <x v="15"/>
    <n v="1"/>
    <n v="112"/>
    <n v="13.44"/>
    <n v="112"/>
    <x v="9"/>
    <n v="523"/>
    <n v="3"/>
    <n v="584"/>
    <n v="4.2"/>
    <n v="61"/>
    <n v="23"/>
    <n v="8"/>
    <n v="1"/>
    <n v="8"/>
    <n v="2018"/>
    <n v="10.043037379999999"/>
    <n v="2288"/>
    <n v="112"/>
    <n v="4.2"/>
    <n v="13.44"/>
    <n v="105"/>
    <n v="4.2"/>
    <n v="23.385714289999999"/>
    <n v="145.55090910000001"/>
    <n v="3.8"/>
    <n v="21.897272730000001"/>
    <n v="118.3636364"/>
    <n v="112"/>
    <n v="118.36363636363636"/>
    <n v="16.435714285714287"/>
  </r>
  <r>
    <x v="22"/>
    <x v="4"/>
    <x v="4"/>
    <n v="1"/>
    <n v="29.5"/>
    <n v="11.73"/>
    <n v="29.5"/>
    <x v="3"/>
    <n v="787"/>
    <n v="8"/>
    <n v="1867"/>
    <n v="4.4000000000000004"/>
    <n v="10"/>
    <n v="21"/>
    <n v="9"/>
    <n v="1"/>
    <n v="9"/>
    <n v="2017"/>
    <n v="100"/>
    <n v="7776"/>
    <n v="99.99"/>
    <n v="4.2"/>
    <n v="15.93333333"/>
    <n v="29.5"/>
    <n v="4.4000000000000004"/>
    <n v="11.73"/>
    <n v="29.5"/>
    <n v="4.4000000000000004"/>
    <n v="11.73"/>
    <n v="29.45"/>
    <n v="29.5"/>
    <s v=""/>
    <n v="16.380782918149468"/>
  </r>
  <r>
    <x v="22"/>
    <x v="4"/>
    <x v="8"/>
    <n v="76"/>
    <n v="2242"/>
    <n v="16.53263158"/>
    <n v="29.5"/>
    <x v="3"/>
    <n v="787"/>
    <n v="8"/>
    <n v="1867"/>
    <n v="4.4000000000000004"/>
    <n v="102"/>
    <n v="23"/>
    <n v="8"/>
    <n v="2"/>
    <n v="1"/>
    <n v="2018"/>
    <n v="67.256637170000005"/>
    <n v="7776"/>
    <n v="99.99"/>
    <n v="4.2"/>
    <n v="16.54"/>
    <n v="129.99"/>
    <n v="4.3"/>
    <n v="17.41"/>
    <n v="29.5"/>
    <n v="4.4000000000000004"/>
    <n v="16.53263158"/>
    <n v="29.45"/>
    <n v="29.5"/>
    <n v="29.5"/>
    <n v="16.326241134751772"/>
  </r>
  <r>
    <x v="22"/>
    <x v="4"/>
    <x v="10"/>
    <n v="26"/>
    <n v="910"/>
    <n v="16.25615385"/>
    <n v="35"/>
    <x v="3"/>
    <n v="787"/>
    <n v="8"/>
    <n v="1867"/>
    <n v="4.4000000000000004"/>
    <n v="45"/>
    <n v="22"/>
    <n v="9"/>
    <n v="1"/>
    <n v="3"/>
    <n v="2018"/>
    <n v="23.008849560000002"/>
    <n v="7776"/>
    <n v="99.99"/>
    <n v="4.2"/>
    <n v="20.78"/>
    <n v="129.99"/>
    <n v="4.3"/>
    <n v="18.489999999999998"/>
    <n v="35"/>
    <n v="4.4000000000000004"/>
    <n v="16.25615385"/>
    <n v="34.950000000000003"/>
    <n v="35"/>
    <n v="29.5"/>
    <n v="16.537102473498233"/>
  </r>
  <r>
    <x v="22"/>
    <x v="4"/>
    <x v="11"/>
    <n v="4"/>
    <n v="140"/>
    <n v="14.845000000000001"/>
    <n v="35"/>
    <x v="3"/>
    <n v="787"/>
    <n v="8"/>
    <n v="1867"/>
    <n v="4.4000000000000004"/>
    <n v="18"/>
    <n v="21"/>
    <n v="9"/>
    <n v="1"/>
    <n v="4"/>
    <n v="2018"/>
    <n v="3.539823009"/>
    <n v="7776"/>
    <n v="89.863333330000003"/>
    <n v="4.2"/>
    <n v="19.876666669999999"/>
    <n v="129.99"/>
    <n v="4.3"/>
    <n v="23.49"/>
    <n v="35"/>
    <n v="4.4000000000000004"/>
    <n v="14.845000000000001"/>
    <n v="35"/>
    <n v="35"/>
    <n v="35"/>
    <n v="16.570422535211268"/>
  </r>
  <r>
    <x v="22"/>
    <x v="4"/>
    <x v="12"/>
    <n v="4"/>
    <n v="140"/>
    <n v="13.637499999999999"/>
    <n v="35"/>
    <x v="3"/>
    <n v="787"/>
    <n v="8"/>
    <n v="1867"/>
    <n v="4.4000000000000004"/>
    <n v="4"/>
    <n v="23"/>
    <n v="8"/>
    <n v="3"/>
    <n v="5"/>
    <n v="2018"/>
    <n v="3.539823009"/>
    <n v="7776"/>
    <n v="35"/>
    <n v="4.4000000000000004"/>
    <n v="13.637499999999999"/>
    <n v="35"/>
    <n v="4.4000000000000004"/>
    <n v="13.637499999999999"/>
    <n v="35"/>
    <n v="4.4000000000000004"/>
    <n v="13.637499999999999"/>
    <n v="35"/>
    <n v="35"/>
    <n v="35"/>
    <n v="16.526315789473685"/>
  </r>
  <r>
    <x v="22"/>
    <x v="4"/>
    <x v="13"/>
    <n v="2"/>
    <n v="130"/>
    <n v="15.01"/>
    <n v="65"/>
    <x v="3"/>
    <n v="787"/>
    <n v="8"/>
    <n v="1867"/>
    <n v="4.4000000000000004"/>
    <n v="2"/>
    <n v="21"/>
    <n v="9"/>
    <n v="0"/>
    <n v="6"/>
    <n v="2018"/>
    <n v="1.769911504"/>
    <n v="7776"/>
    <n v="65"/>
    <n v="4.4000000000000004"/>
    <n v="15.01"/>
    <n v="65"/>
    <n v="4.4000000000000004"/>
    <n v="15.01"/>
    <n v="65"/>
    <n v="4.4000000000000004"/>
    <n v="15.01"/>
    <n v="35"/>
    <n v="65"/>
    <n v="35"/>
    <n v="16.482517482517483"/>
  </r>
  <r>
    <x v="22"/>
    <x v="4"/>
    <x v="15"/>
    <n v="1"/>
    <n v="65"/>
    <n v="57.23"/>
    <n v="65"/>
    <x v="3"/>
    <n v="787"/>
    <n v="8"/>
    <n v="1867"/>
    <n v="4.4000000000000004"/>
    <n v="1"/>
    <n v="23"/>
    <n v="8"/>
    <n v="1"/>
    <n v="8"/>
    <n v="2018"/>
    <n v="0.88495575199999998"/>
    <n v="7776"/>
    <n v="65"/>
    <n v="4.4000000000000004"/>
    <n v="57.23"/>
    <n v="65"/>
    <n v="4.4000000000000004"/>
    <n v="57.23"/>
    <n v="65"/>
    <n v="4.4000000000000004"/>
    <n v="57.23"/>
    <n v="64.95"/>
    <n v="65"/>
    <n v="65"/>
    <n v="16.432055749128921"/>
  </r>
  <r>
    <x v="23"/>
    <x v="5"/>
    <x v="3"/>
    <n v="1"/>
    <n v="142.5"/>
    <n v="15.75"/>
    <n v="142.5"/>
    <x v="13"/>
    <n v="178"/>
    <n v="1"/>
    <n v="400"/>
    <n v="4.4000000000000004"/>
    <n v="8"/>
    <n v="23"/>
    <n v="8"/>
    <n v="1"/>
    <n v="8"/>
    <n v="2017"/>
    <n v="12.449186989999999"/>
    <n v="4693"/>
    <n v="56.99"/>
    <n v="4.3"/>
    <n v="13.58857143"/>
    <n v="142.5"/>
    <n v="4.4000000000000004"/>
    <n v="15.75"/>
    <n v="142.5"/>
    <n v="4.4000000000000004"/>
    <n v="15.75"/>
    <n v="142.44999999999999"/>
    <n v="142.5"/>
    <s v=""/>
    <n v="16.378472222222221"/>
  </r>
  <r>
    <x v="23"/>
    <x v="5"/>
    <x v="4"/>
    <n v="1"/>
    <n v="142.5"/>
    <n v="9.19"/>
    <n v="142.5"/>
    <x v="13"/>
    <n v="178"/>
    <n v="1"/>
    <n v="400"/>
    <n v="4.4000000000000004"/>
    <n v="18"/>
    <n v="21"/>
    <n v="9"/>
    <n v="1"/>
    <n v="9"/>
    <n v="2017"/>
    <n v="4.1666666670000003"/>
    <n v="4693"/>
    <n v="56.99"/>
    <n v="4.3"/>
    <n v="13.741176469999999"/>
    <n v="142.5"/>
    <n v="4.4000000000000004"/>
    <n v="9.19"/>
    <n v="142.5"/>
    <n v="4.4000000000000004"/>
    <n v="9.19"/>
    <n v="142.5"/>
    <n v="142.5"/>
    <n v="142.5"/>
    <n v="16.325259515570934"/>
  </r>
  <r>
    <x v="23"/>
    <x v="5"/>
    <x v="5"/>
    <n v="2"/>
    <n v="285"/>
    <n v="17.149999999999999"/>
    <n v="142.5"/>
    <x v="13"/>
    <n v="178"/>
    <n v="1"/>
    <n v="400"/>
    <n v="4.4000000000000004"/>
    <n v="19"/>
    <n v="22"/>
    <n v="9"/>
    <n v="2"/>
    <n v="10"/>
    <n v="2017"/>
    <n v="8.3333333330000006"/>
    <n v="4693"/>
    <n v="56.99"/>
    <n v="4.3"/>
    <n v="12.29294118"/>
    <n v="142.5"/>
    <n v="4.4000000000000004"/>
    <n v="17.149999999999999"/>
    <n v="142.5"/>
    <n v="4.4000000000000004"/>
    <n v="17.149999999999999"/>
    <n v="142.5"/>
    <n v="142.5"/>
    <n v="142.5"/>
    <n v="16.27241379310345"/>
  </r>
  <r>
    <x v="23"/>
    <x v="5"/>
    <x v="6"/>
    <n v="8"/>
    <n v="944.4"/>
    <n v="14.293749999999999"/>
    <n v="118.05"/>
    <x v="13"/>
    <n v="178"/>
    <n v="1"/>
    <n v="400"/>
    <n v="4.4000000000000004"/>
    <n v="27"/>
    <n v="22"/>
    <n v="8"/>
    <n v="4"/>
    <n v="11"/>
    <n v="2017"/>
    <n v="33.333333330000002"/>
    <n v="4693"/>
    <n v="56.99"/>
    <n v="4.3"/>
    <n v="12.714"/>
    <n v="118.05"/>
    <n v="4.4000000000000004"/>
    <n v="14.293749999999999"/>
    <n v="118.05"/>
    <n v="4.4000000000000004"/>
    <n v="14.293749999999999"/>
    <n v="142.5"/>
    <n v="118.05"/>
    <n v="142.5"/>
    <n v="16.223367697594501"/>
  </r>
  <r>
    <x v="23"/>
    <x v="5"/>
    <x v="7"/>
    <n v="12"/>
    <n v="1416"/>
    <n v="11.026666669999999"/>
    <n v="118"/>
    <x v="13"/>
    <n v="178"/>
    <n v="1"/>
    <n v="400"/>
    <n v="4.4000000000000004"/>
    <n v="34"/>
    <n v="21"/>
    <n v="10"/>
    <n v="1"/>
    <n v="12"/>
    <n v="2017"/>
    <n v="50"/>
    <n v="4693"/>
    <n v="56.99"/>
    <n v="4.3"/>
    <n v="13.82"/>
    <n v="118"/>
    <n v="4.4000000000000004"/>
    <n v="11.026666669999999"/>
    <n v="118"/>
    <n v="4.4000000000000004"/>
    <n v="11.026666669999999"/>
    <n v="118.05"/>
    <n v="118"/>
    <n v="118.05"/>
    <n v="16.195205479452056"/>
  </r>
  <r>
    <x v="23"/>
    <x v="5"/>
    <x v="8"/>
    <n v="6"/>
    <n v="707.4"/>
    <n v="14.03833333"/>
    <n v="117.9"/>
    <x v="13"/>
    <n v="178"/>
    <n v="1"/>
    <n v="400"/>
    <n v="4.4000000000000004"/>
    <n v="15"/>
    <n v="23"/>
    <n v="8"/>
    <n v="2"/>
    <n v="1"/>
    <n v="2018"/>
    <n v="7.3170731709999997"/>
    <n v="4693"/>
    <n v="56.99"/>
    <n v="4.3"/>
    <n v="12.215"/>
    <n v="117.9"/>
    <n v="4.4000000000000004"/>
    <n v="14.03833333"/>
    <n v="117.9"/>
    <n v="4.4000000000000004"/>
    <n v="14.03833333"/>
    <n v="118"/>
    <n v="117.89999999999999"/>
    <n v="118"/>
    <n v="16.18088737201365"/>
  </r>
  <r>
    <x v="23"/>
    <x v="5"/>
    <x v="9"/>
    <n v="11"/>
    <n v="1296.8"/>
    <n v="13.880909089999999"/>
    <n v="117.8888889"/>
    <x v="13"/>
    <n v="178"/>
    <n v="1"/>
    <n v="400"/>
    <n v="4.4000000000000004"/>
    <n v="12"/>
    <n v="20"/>
    <n v="8"/>
    <n v="2"/>
    <n v="2"/>
    <n v="2018"/>
    <n v="13.414634149999999"/>
    <n v="4693"/>
    <n v="56.99"/>
    <n v="4.3"/>
    <n v="14.557499999999999"/>
    <n v="117.8888889"/>
    <n v="4.4000000000000004"/>
    <n v="13.880909089999999"/>
    <n v="117.8888889"/>
    <n v="4.4000000000000004"/>
    <n v="13.880909089999999"/>
    <n v="117.9"/>
    <n v="117.89090909090909"/>
    <n v="117.89999999999999"/>
    <n v="16.146258503401359"/>
  </r>
  <r>
    <x v="23"/>
    <x v="5"/>
    <x v="10"/>
    <n v="4"/>
    <n v="470.8"/>
    <n v="15.175000000000001"/>
    <n v="117.7"/>
    <x v="13"/>
    <n v="178"/>
    <n v="1"/>
    <n v="400"/>
    <n v="4.4000000000000004"/>
    <n v="18"/>
    <n v="22"/>
    <n v="9"/>
    <n v="1"/>
    <n v="3"/>
    <n v="2018"/>
    <n v="4.8780487800000003"/>
    <n v="4693"/>
    <n v="50.49"/>
    <n v="4.3"/>
    <n v="15.19642857"/>
    <n v="117.7"/>
    <n v="4.4000000000000004"/>
    <n v="15.175000000000001"/>
    <n v="117.7"/>
    <n v="4.4000000000000004"/>
    <n v="15.175000000000001"/>
    <n v="117.8888889"/>
    <n v="117.7"/>
    <n v="117.89090909090909"/>
    <n v="16.128813559322033"/>
  </r>
  <r>
    <x v="23"/>
    <x v="5"/>
    <x v="11"/>
    <n v="8"/>
    <n v="943.8"/>
    <n v="21.65"/>
    <n v="117.97499999999999"/>
    <x v="13"/>
    <n v="178"/>
    <n v="1"/>
    <n v="400"/>
    <n v="4.4000000000000004"/>
    <n v="10"/>
    <n v="21"/>
    <n v="9"/>
    <n v="1"/>
    <n v="4"/>
    <n v="2018"/>
    <n v="9.7560975610000007"/>
    <n v="4693"/>
    <n v="49.99"/>
    <n v="4.3"/>
    <n v="13.664999999999999"/>
    <n v="117.97499999999999"/>
    <n v="4.4000000000000004"/>
    <n v="21.65"/>
    <n v="117.97499999999999"/>
    <n v="4.4000000000000004"/>
    <n v="21.65"/>
    <n v="117.7"/>
    <n v="117.97499999999999"/>
    <n v="117.7"/>
    <n v="16.087837837837839"/>
  </r>
  <r>
    <x v="23"/>
    <x v="5"/>
    <x v="12"/>
    <n v="17"/>
    <n v="2038.3"/>
    <n v="15.852352939999999"/>
    <n v="119.9"/>
    <x v="13"/>
    <n v="178"/>
    <n v="1"/>
    <n v="400"/>
    <n v="4.4000000000000004"/>
    <n v="16"/>
    <n v="23"/>
    <n v="8"/>
    <n v="3"/>
    <n v="5"/>
    <n v="2018"/>
    <n v="20.731707320000002"/>
    <n v="4693"/>
    <n v="119.9"/>
    <n v="4.4000000000000004"/>
    <n v="15.852352939999999"/>
    <n v="119.9"/>
    <n v="4.4000000000000004"/>
    <n v="15.852352939999999"/>
    <n v="119.9"/>
    <n v="4.4000000000000004"/>
    <n v="15.852352939999999"/>
    <n v="117.97499999999999"/>
    <n v="119.89999999999999"/>
    <n v="117.97499999999999"/>
    <n v="16.060606060606062"/>
  </r>
  <r>
    <x v="23"/>
    <x v="5"/>
    <x v="13"/>
    <n v="14"/>
    <n v="1668.5"/>
    <n v="14.17285714"/>
    <n v="119.1785714"/>
    <x v="13"/>
    <n v="178"/>
    <n v="1"/>
    <n v="400"/>
    <n v="4.4000000000000004"/>
    <n v="14"/>
    <n v="21"/>
    <n v="9"/>
    <n v="0"/>
    <n v="6"/>
    <n v="2018"/>
    <n v="17.073170730000001"/>
    <n v="4693"/>
    <n v="119.1785714"/>
    <n v="4.4000000000000004"/>
    <n v="14.17285714"/>
    <n v="119.1785714"/>
    <n v="4.4000000000000004"/>
    <n v="14.17285714"/>
    <n v="119.1785714"/>
    <n v="4.4000000000000004"/>
    <n v="14.17285714"/>
    <n v="119.9"/>
    <n v="119.17857142857143"/>
    <n v="119.89999999999999"/>
    <n v="16.063758389261746"/>
  </r>
  <r>
    <x v="23"/>
    <x v="5"/>
    <x v="14"/>
    <n v="5"/>
    <n v="593.5"/>
    <n v="15.978"/>
    <n v="118.7"/>
    <x v="13"/>
    <n v="178"/>
    <n v="1"/>
    <n v="400"/>
    <n v="4.4000000000000004"/>
    <n v="13"/>
    <n v="22"/>
    <n v="9"/>
    <n v="1"/>
    <n v="7"/>
    <n v="2018"/>
    <n v="6.0975609759999996"/>
    <n v="4693"/>
    <n v="49.99"/>
    <n v="4.3"/>
    <n v="12.522500000000001"/>
    <n v="118.7"/>
    <n v="4.4000000000000004"/>
    <n v="15.978"/>
    <n v="118.7"/>
    <n v="4.4000000000000004"/>
    <n v="15.978"/>
    <n v="119.1785714"/>
    <n v="118.7"/>
    <n v="119.17857142857143"/>
    <n v="16.056856187290968"/>
  </r>
  <r>
    <x v="23"/>
    <x v="5"/>
    <x v="15"/>
    <n v="17"/>
    <n v="1987.4"/>
    <n v="17.790588240000002"/>
    <n v="116.9066667"/>
    <x v="13"/>
    <n v="178"/>
    <n v="1"/>
    <n v="400"/>
    <n v="4.4000000000000004"/>
    <n v="19"/>
    <n v="23"/>
    <n v="8"/>
    <n v="1"/>
    <n v="8"/>
    <n v="2018"/>
    <n v="12.449186989999999"/>
    <n v="4693"/>
    <n v="49.99"/>
    <n v="4.3"/>
    <n v="12.28"/>
    <n v="116.9066667"/>
    <n v="4.4000000000000004"/>
    <n v="17.790588240000002"/>
    <n v="116.9066667"/>
    <n v="4.4000000000000004"/>
    <n v="17.790588240000002"/>
    <n v="118.7"/>
    <n v="116.90588235294118"/>
    <n v="118.7"/>
    <n v="16.02"/>
  </r>
  <r>
    <x v="24"/>
    <x v="4"/>
    <x v="16"/>
    <n v="8"/>
    <n v="1039.92"/>
    <n v="18.778749999999999"/>
    <n v="129.99"/>
    <x v="9"/>
    <n v="897"/>
    <n v="1"/>
    <n v="1600"/>
    <n v="4.3"/>
    <n v="22"/>
    <n v="23"/>
    <n v="8"/>
    <n v="1"/>
    <n v="3"/>
    <n v="2017"/>
    <n v="9.8536036039999999"/>
    <n v="15750"/>
    <n v="99.99"/>
    <n v="4.2"/>
    <n v="16.644285709999998"/>
    <n v="129.99"/>
    <n v="4.3"/>
    <n v="18.778749999999999"/>
    <n v="129.99"/>
    <n v="4.3"/>
    <n v="18.778749999999999"/>
    <n v="129.94"/>
    <n v="129.99"/>
    <s v=""/>
    <n v="16.023255813953487"/>
  </r>
  <r>
    <x v="24"/>
    <x v="4"/>
    <x v="17"/>
    <n v="14"/>
    <n v="1819.86"/>
    <n v="17.396428570000001"/>
    <n v="129.99"/>
    <x v="9"/>
    <n v="897"/>
    <n v="1"/>
    <n v="1600"/>
    <n v="4.3"/>
    <n v="33"/>
    <n v="20"/>
    <n v="10"/>
    <n v="2"/>
    <n v="4"/>
    <n v="2017"/>
    <n v="12.55630631"/>
    <n v="15750"/>
    <n v="99.99"/>
    <n v="4.2"/>
    <n v="14.202352940000001"/>
    <n v="129.99"/>
    <n v="4.3"/>
    <n v="17.396428570000001"/>
    <n v="129.99"/>
    <n v="4.3"/>
    <n v="17.396428570000001"/>
    <n v="129.99"/>
    <n v="129.98999999999998"/>
    <n v="129.99"/>
    <n v="15.996688741721854"/>
  </r>
  <r>
    <x v="24"/>
    <x v="4"/>
    <x v="0"/>
    <n v="18"/>
    <n v="2339.8200000000002"/>
    <n v="18.272777779999998"/>
    <n v="129.99"/>
    <x v="9"/>
    <n v="897"/>
    <n v="1"/>
    <n v="1600"/>
    <n v="4.3"/>
    <n v="58"/>
    <n v="23"/>
    <n v="8"/>
    <n v="1"/>
    <n v="5"/>
    <n v="2017"/>
    <n v="16.21621622"/>
    <n v="15750"/>
    <n v="99.99"/>
    <n v="4.2"/>
    <n v="15.02090909"/>
    <n v="129.99"/>
    <n v="4.3"/>
    <n v="18.272777779999998"/>
    <n v="129.99"/>
    <n v="4.3"/>
    <n v="18.272777779999998"/>
    <n v="129.99"/>
    <n v="129.99"/>
    <n v="129.98999999999998"/>
    <n v="15.990099009900991"/>
  </r>
  <r>
    <x v="24"/>
    <x v="4"/>
    <x v="1"/>
    <n v="17"/>
    <n v="2209.83"/>
    <n v="17.061176469999999"/>
    <n v="129.99"/>
    <x v="9"/>
    <n v="897"/>
    <n v="1"/>
    <n v="1600"/>
    <n v="4.3"/>
    <n v="42"/>
    <n v="22"/>
    <n v="8"/>
    <n v="1"/>
    <n v="6"/>
    <n v="2017"/>
    <n v="15.31531532"/>
    <n v="15750"/>
    <n v="99.99"/>
    <n v="4.2"/>
    <n v="13.826428569999999"/>
    <n v="129.99"/>
    <n v="4.3"/>
    <n v="17.061176469999999"/>
    <n v="129.99"/>
    <n v="4.3"/>
    <n v="17.061176469999999"/>
    <n v="129.99"/>
    <n v="129.99"/>
    <n v="129.99"/>
    <n v="15.996710526315789"/>
  </r>
  <r>
    <x v="24"/>
    <x v="4"/>
    <x v="2"/>
    <n v="16"/>
    <n v="2079.84"/>
    <n v="18.715624999999999"/>
    <n v="129.99"/>
    <x v="9"/>
    <n v="897"/>
    <n v="1"/>
    <n v="1600"/>
    <n v="4.3"/>
    <n v="42"/>
    <n v="21"/>
    <n v="10"/>
    <n v="1"/>
    <n v="7"/>
    <n v="2017"/>
    <n v="14.414414409999999"/>
    <n v="15750"/>
    <n v="99.99"/>
    <n v="4.2"/>
    <n v="16.529090910000001"/>
    <n v="129.99"/>
    <n v="4.3"/>
    <n v="18.715624999999999"/>
    <n v="129.99"/>
    <n v="4.3"/>
    <n v="18.715624999999999"/>
    <n v="129.99"/>
    <n v="129.99"/>
    <n v="129.99"/>
    <n v="16"/>
  </r>
  <r>
    <x v="24"/>
    <x v="4"/>
    <x v="3"/>
    <n v="16"/>
    <n v="1870.84"/>
    <n v="19.021249999999998"/>
    <n v="116.92749999999999"/>
    <x v="9"/>
    <n v="897"/>
    <n v="1"/>
    <n v="1600"/>
    <n v="4.3"/>
    <n v="39"/>
    <n v="23"/>
    <n v="8"/>
    <n v="1"/>
    <n v="8"/>
    <n v="2017"/>
    <n v="14.414414409999999"/>
    <n v="15750"/>
    <n v="99.99"/>
    <n v="4.2"/>
    <n v="18.975000000000001"/>
    <n v="116.92749999999999"/>
    <n v="4.3"/>
    <n v="19.021249999999998"/>
    <n v="116.92749999999999"/>
    <n v="4.3"/>
    <n v="19.021249999999998"/>
    <n v="129.99"/>
    <n v="116.92749999999999"/>
    <n v="129.99"/>
    <n v="16"/>
  </r>
  <r>
    <x v="24"/>
    <x v="4"/>
    <x v="5"/>
    <n v="10"/>
    <n v="1199.9000000000001"/>
    <n v="19.997"/>
    <n v="119.99"/>
    <x v="9"/>
    <n v="897"/>
    <n v="1"/>
    <n v="1600"/>
    <n v="4.3"/>
    <n v="33"/>
    <n v="22"/>
    <n v="9"/>
    <n v="2"/>
    <n v="10"/>
    <n v="2017"/>
    <n v="9.0090090089999997"/>
    <n v="15750"/>
    <n v="99.99"/>
    <n v="4.2"/>
    <n v="16.95"/>
    <n v="119.99"/>
    <n v="4.3"/>
    <n v="19.997"/>
    <n v="119.99"/>
    <n v="4.3"/>
    <n v="19.997"/>
    <n v="119.94"/>
    <n v="119.99000000000001"/>
    <n v="116.92749999999999"/>
    <n v="16"/>
  </r>
  <r>
    <x v="24"/>
    <x v="4"/>
    <x v="6"/>
    <n v="9"/>
    <n v="1169.9100000000001"/>
    <n v="22.674444439999998"/>
    <n v="129.99"/>
    <x v="9"/>
    <n v="897"/>
    <n v="1"/>
    <n v="1600"/>
    <n v="4.3"/>
    <n v="42"/>
    <n v="22"/>
    <n v="8"/>
    <n v="4"/>
    <n v="11"/>
    <n v="2017"/>
    <n v="8.1081081079999997"/>
    <n v="15750"/>
    <n v="99.99"/>
    <n v="4.2"/>
    <n v="16.1875"/>
    <n v="129.99"/>
    <n v="4.3"/>
    <n v="22.674444439999998"/>
    <n v="129.99"/>
    <n v="4.3"/>
    <n v="22.674444439999998"/>
    <n v="119.99"/>
    <n v="129.99"/>
    <n v="119.99000000000001"/>
    <n v="15.980519480519481"/>
  </r>
  <r>
    <x v="24"/>
    <x v="4"/>
    <x v="7"/>
    <n v="3"/>
    <n v="389.97"/>
    <n v="25.59"/>
    <n v="129.99"/>
    <x v="9"/>
    <n v="897"/>
    <n v="1"/>
    <n v="1600"/>
    <n v="4.3"/>
    <n v="38"/>
    <n v="21"/>
    <n v="10"/>
    <n v="1"/>
    <n v="12"/>
    <n v="2017"/>
    <n v="2.7027027029999999"/>
    <n v="15750"/>
    <n v="99.99"/>
    <n v="4.2"/>
    <n v="15.266666669999999"/>
    <n v="129.99"/>
    <n v="4.3"/>
    <n v="25.59"/>
    <n v="129.99"/>
    <n v="4.3"/>
    <n v="25.59"/>
    <n v="129.99"/>
    <n v="129.99"/>
    <n v="129.99"/>
    <n v="15.957928802588997"/>
  </r>
  <r>
    <x v="24"/>
    <x v="4"/>
    <x v="8"/>
    <n v="4"/>
    <n v="519.96"/>
    <n v="17.41"/>
    <n v="129.99"/>
    <x v="9"/>
    <n v="897"/>
    <n v="1"/>
    <n v="1600"/>
    <n v="4.3"/>
    <n v="102"/>
    <n v="23"/>
    <n v="8"/>
    <n v="2"/>
    <n v="1"/>
    <n v="2018"/>
    <n v="50"/>
    <n v="15750"/>
    <n v="99.99"/>
    <n v="4.2"/>
    <n v="16.54"/>
    <n v="129.99"/>
    <n v="4.3"/>
    <n v="17.41"/>
    <n v="29.5"/>
    <n v="4.4000000000000004"/>
    <n v="16.53263158"/>
    <n v="129.99"/>
    <n v="129.99"/>
    <n v="129.99"/>
    <n v="15.916129032258064"/>
  </r>
  <r>
    <x v="24"/>
    <x v="4"/>
    <x v="9"/>
    <n v="2"/>
    <n v="259.98"/>
    <n v="16.71"/>
    <n v="129.99"/>
    <x v="9"/>
    <n v="897"/>
    <n v="1"/>
    <n v="1600"/>
    <n v="4.3"/>
    <n v="20"/>
    <n v="20"/>
    <n v="8"/>
    <n v="2"/>
    <n v="2"/>
    <n v="2018"/>
    <n v="25"/>
    <n v="15750"/>
    <n v="99.99"/>
    <n v="4.2"/>
    <n v="13.72"/>
    <n v="129.99"/>
    <n v="4.3"/>
    <n v="16.71"/>
    <n v="129.99"/>
    <n v="4.3"/>
    <n v="16.71"/>
    <n v="129.99"/>
    <n v="129.99"/>
    <n v="129.99"/>
    <n v="15.877813504823152"/>
  </r>
  <r>
    <x v="24"/>
    <x v="4"/>
    <x v="10"/>
    <n v="1"/>
    <n v="129.99"/>
    <n v="18.489999999999998"/>
    <n v="129.99"/>
    <x v="9"/>
    <n v="897"/>
    <n v="1"/>
    <n v="1600"/>
    <n v="4.3"/>
    <n v="45"/>
    <n v="22"/>
    <n v="9"/>
    <n v="1"/>
    <n v="3"/>
    <n v="2018"/>
    <n v="9.8536036039999999"/>
    <n v="15750"/>
    <n v="99.99"/>
    <n v="4.2"/>
    <n v="20.78"/>
    <n v="129.99"/>
    <n v="4.3"/>
    <n v="18.489999999999998"/>
    <n v="35"/>
    <n v="4.4000000000000004"/>
    <n v="16.25615385"/>
    <n v="129.99"/>
    <n v="129.99"/>
    <n v="129.99"/>
    <n v="15.833333333333334"/>
  </r>
  <r>
    <x v="24"/>
    <x v="4"/>
    <x v="11"/>
    <n v="1"/>
    <n v="129.99"/>
    <n v="23.49"/>
    <n v="129.99"/>
    <x v="9"/>
    <n v="897"/>
    <n v="1"/>
    <n v="1600"/>
    <n v="4.3"/>
    <n v="18"/>
    <n v="21"/>
    <n v="9"/>
    <n v="1"/>
    <n v="4"/>
    <n v="2018"/>
    <n v="12.55630631"/>
    <n v="15750"/>
    <n v="89.863333330000003"/>
    <n v="4.2"/>
    <n v="19.876666669999999"/>
    <n v="129.99"/>
    <n v="4.3"/>
    <n v="23.49"/>
    <n v="35"/>
    <n v="4.4000000000000004"/>
    <n v="14.845000000000001"/>
    <n v="129.99"/>
    <n v="129.99"/>
    <n v="129.99"/>
    <n v="15.785942492012779"/>
  </r>
  <r>
    <x v="25"/>
    <x v="6"/>
    <x v="0"/>
    <n v="4"/>
    <n v="379.6"/>
    <n v="15.84"/>
    <n v="94.9"/>
    <x v="14"/>
    <n v="236"/>
    <n v="1"/>
    <n v="173"/>
    <n v="4"/>
    <n v="11"/>
    <n v="23"/>
    <n v="8"/>
    <n v="1"/>
    <n v="5"/>
    <n v="2017"/>
    <n v="10.81081081"/>
    <n v="2808"/>
    <n v="94.9"/>
    <n v="4"/>
    <n v="15.84"/>
    <n v="94.9"/>
    <n v="4"/>
    <n v="15.84"/>
    <n v="94.9"/>
    <n v="4"/>
    <n v="15.84"/>
    <n v="94.85"/>
    <n v="94.9"/>
    <s v=""/>
    <n v="15.738853503184714"/>
  </r>
  <r>
    <x v="25"/>
    <x v="6"/>
    <x v="1"/>
    <n v="6"/>
    <n v="611.4"/>
    <n v="17.785"/>
    <n v="100.9"/>
    <x v="14"/>
    <n v="236"/>
    <n v="1"/>
    <n v="173"/>
    <n v="4"/>
    <n v="15"/>
    <n v="22"/>
    <n v="8"/>
    <n v="1"/>
    <n v="6"/>
    <n v="2017"/>
    <n v="10.068892419999999"/>
    <n v="2808"/>
    <n v="159.99"/>
    <n v="4.2"/>
    <n v="42.033333329999998"/>
    <n v="100.9"/>
    <n v="4"/>
    <n v="17.785"/>
    <n v="100.9"/>
    <n v="4"/>
    <n v="17.785"/>
    <n v="94.9"/>
    <n v="101.89999999999999"/>
    <n v="94.9"/>
    <n v="15.701587301587301"/>
  </r>
  <r>
    <x v="25"/>
    <x v="6"/>
    <x v="2"/>
    <n v="10"/>
    <n v="1099"/>
    <n v="12.015000000000001"/>
    <n v="109.9"/>
    <x v="14"/>
    <n v="236"/>
    <n v="1"/>
    <n v="173"/>
    <n v="4"/>
    <n v="17"/>
    <n v="21"/>
    <n v="10"/>
    <n v="1"/>
    <n v="7"/>
    <n v="2017"/>
    <n v="22.337042929999999"/>
    <n v="2808"/>
    <n v="139.99"/>
    <n v="4.2"/>
    <n v="48.108333330000001"/>
    <n v="109.9"/>
    <n v="4"/>
    <n v="12.015000000000001"/>
    <n v="109.9"/>
    <n v="4"/>
    <n v="12.015000000000001"/>
    <n v="100.9"/>
    <n v="109.9"/>
    <n v="101.89999999999999"/>
    <n v="15.670886075949367"/>
  </r>
  <r>
    <x v="25"/>
    <x v="6"/>
    <x v="3"/>
    <n v="2"/>
    <n v="219.8"/>
    <n v="10.39"/>
    <n v="109.9"/>
    <x v="14"/>
    <n v="236"/>
    <n v="1"/>
    <n v="173"/>
    <n v="4"/>
    <n v="15"/>
    <n v="23"/>
    <n v="8"/>
    <n v="1"/>
    <n v="8"/>
    <n v="2017"/>
    <n v="3.1928987809999998"/>
    <n v="2808"/>
    <n v="145.70428570000001"/>
    <n v="4.2"/>
    <n v="36.46"/>
    <n v="109.9"/>
    <n v="4"/>
    <n v="10.39"/>
    <n v="109.9"/>
    <n v="4"/>
    <n v="10.39"/>
    <n v="109.9"/>
    <n v="109.9"/>
    <n v="109.9"/>
    <n v="15.652996845425868"/>
  </r>
  <r>
    <x v="25"/>
    <x v="6"/>
    <x v="4"/>
    <n v="4"/>
    <n v="395.6"/>
    <n v="14.975"/>
    <n v="98.9"/>
    <x v="14"/>
    <n v="236"/>
    <n v="1"/>
    <n v="173"/>
    <n v="4"/>
    <n v="15"/>
    <n v="21"/>
    <n v="9"/>
    <n v="1"/>
    <n v="9"/>
    <n v="2017"/>
    <n v="10.81081081"/>
    <n v="2808"/>
    <n v="151.99"/>
    <n v="4.2"/>
    <n v="43.72272727"/>
    <n v="98.9"/>
    <n v="4"/>
    <n v="14.975"/>
    <n v="98.9"/>
    <n v="4"/>
    <n v="14.975"/>
    <n v="109.9"/>
    <n v="98.9"/>
    <n v="109.9"/>
    <n v="15.610062893081761"/>
  </r>
  <r>
    <x v="25"/>
    <x v="6"/>
    <x v="5"/>
    <n v="4"/>
    <n v="395.6"/>
    <n v="17.122499999999999"/>
    <n v="98.9"/>
    <x v="14"/>
    <n v="236"/>
    <n v="1"/>
    <n v="173"/>
    <n v="4"/>
    <n v="31"/>
    <n v="22"/>
    <n v="9"/>
    <n v="2"/>
    <n v="10"/>
    <n v="2017"/>
    <n v="10.81081081"/>
    <n v="2808"/>
    <n v="154.69588239999999"/>
    <n v="4.2"/>
    <n v="43.88117647"/>
    <n v="98.9"/>
    <n v="4"/>
    <n v="17.122499999999999"/>
    <n v="98.9"/>
    <n v="4"/>
    <n v="17.122499999999999"/>
    <n v="98.9"/>
    <n v="98.9"/>
    <n v="98.9"/>
    <n v="15.573667711598747"/>
  </r>
  <r>
    <x v="25"/>
    <x v="6"/>
    <x v="6"/>
    <n v="6"/>
    <n v="593.4"/>
    <n v="16.14"/>
    <n v="98.9"/>
    <x v="14"/>
    <n v="236"/>
    <n v="1"/>
    <n v="173"/>
    <n v="4"/>
    <n v="36"/>
    <n v="22"/>
    <n v="8"/>
    <n v="4"/>
    <n v="11"/>
    <n v="2017"/>
    <n v="16.21621622"/>
    <n v="2808"/>
    <n v="149.99"/>
    <n v="4.2"/>
    <n v="42.517222220000001"/>
    <n v="98.9"/>
    <n v="4"/>
    <n v="16.14"/>
    <n v="109.9"/>
    <n v="3.5"/>
    <n v="15.52"/>
    <n v="98.9"/>
    <n v="98.899999999999991"/>
    <n v="98.9"/>
    <n v="15.5375"/>
  </r>
  <r>
    <x v="25"/>
    <x v="6"/>
    <x v="7"/>
    <n v="1"/>
    <n v="98.9"/>
    <n v="13.71"/>
    <n v="98.9"/>
    <x v="14"/>
    <n v="236"/>
    <n v="1"/>
    <n v="173"/>
    <n v="4"/>
    <n v="35"/>
    <n v="21"/>
    <n v="10"/>
    <n v="1"/>
    <n v="12"/>
    <n v="2017"/>
    <n v="2.7027027029999999"/>
    <n v="2808"/>
    <n v="149.99"/>
    <n v="4.2"/>
    <n v="38.57"/>
    <n v="98.9"/>
    <n v="4"/>
    <n v="13.71"/>
    <n v="109.9"/>
    <n v="3.5"/>
    <n v="25.249166670000001"/>
    <n v="98.9"/>
    <n v="98.9"/>
    <n v="98.899999999999991"/>
    <n v="15.507788161993769"/>
  </r>
  <r>
    <x v="25"/>
    <x v="6"/>
    <x v="8"/>
    <n v="31"/>
    <n v="2795.14"/>
    <n v="14.08322581"/>
    <n v="90.534000000000006"/>
    <x v="14"/>
    <n v="236"/>
    <n v="1"/>
    <n v="173"/>
    <n v="4"/>
    <n v="152"/>
    <n v="23"/>
    <n v="8"/>
    <n v="2"/>
    <n v="1"/>
    <n v="2018"/>
    <n v="30.39215686"/>
    <n v="2808"/>
    <n v="156.5113514"/>
    <n v="4.2"/>
    <n v="36.807209299999997"/>
    <n v="150.3545455"/>
    <n v="4.3"/>
    <n v="22.547727269999999"/>
    <n v="97.642499999999998"/>
    <n v="3.5"/>
    <n v="14.846551720000001"/>
    <n v="98.9"/>
    <n v="90.165806451612895"/>
    <n v="98.9"/>
    <n v="15.462732919254659"/>
  </r>
  <r>
    <x v="25"/>
    <x v="6"/>
    <x v="9"/>
    <n v="30"/>
    <n v="2537.19"/>
    <n v="14.096"/>
    <n v="84.756086960000005"/>
    <x v="14"/>
    <n v="236"/>
    <n v="1"/>
    <n v="173"/>
    <n v="4"/>
    <n v="202"/>
    <n v="20"/>
    <n v="8"/>
    <n v="2"/>
    <n v="2"/>
    <n v="2018"/>
    <n v="29.41176471"/>
    <n v="2808"/>
    <n v="149"/>
    <n v="4.2"/>
    <n v="41.16322581"/>
    <n v="149.9"/>
    <n v="4.3"/>
    <n v="26.552898549999998"/>
    <n v="78.712280699999994"/>
    <n v="3.5"/>
    <n v="14.535915490000001"/>
    <n v="90.534000000000006"/>
    <n v="84.573000000000008"/>
    <n v="90.165806451612895"/>
    <n v="15.510835913312693"/>
  </r>
  <r>
    <x v="25"/>
    <x v="6"/>
    <x v="10"/>
    <n v="13"/>
    <n v="1139.8"/>
    <n v="11.67230769"/>
    <n v="87.5"/>
    <x v="14"/>
    <n v="236"/>
    <n v="1"/>
    <n v="173"/>
    <n v="4"/>
    <n v="127"/>
    <n v="22"/>
    <n v="9"/>
    <n v="1"/>
    <n v="3"/>
    <n v="2018"/>
    <n v="12.74509804"/>
    <n v="2808"/>
    <n v="136.14285709999999"/>
    <n v="4.2"/>
    <n v="48.047499999999999"/>
    <n v="149.9"/>
    <n v="4.3"/>
    <n v="28.475882349999999"/>
    <n v="81.023913039999996"/>
    <n v="3.5"/>
    <n v="18.221481480000001"/>
    <n v="84.756086960000005"/>
    <n v="87.676923076923075"/>
    <n v="84.573000000000008"/>
    <n v="15.555555555555555"/>
  </r>
  <r>
    <x v="25"/>
    <x v="6"/>
    <x v="11"/>
    <n v="5"/>
    <n v="470"/>
    <n v="15.48"/>
    <n v="94"/>
    <x v="14"/>
    <n v="236"/>
    <n v="1"/>
    <n v="173"/>
    <n v="4"/>
    <n v="107"/>
    <n v="21"/>
    <n v="9"/>
    <n v="1"/>
    <n v="4"/>
    <n v="2018"/>
    <n v="4.9019607839999999"/>
    <n v="2808"/>
    <n v="120.9230769"/>
    <n v="4.2"/>
    <n v="27.253035709999999"/>
    <n v="149.9"/>
    <n v="4.3"/>
    <n v="30.227428570000001"/>
    <n v="80.666666669999998"/>
    <n v="3.5"/>
    <n v="18.17230769"/>
    <n v="87.5"/>
    <n v="94"/>
    <n v="87.676923076923075"/>
    <n v="15.547692307692307"/>
  </r>
  <r>
    <x v="25"/>
    <x v="6"/>
    <x v="13"/>
    <n v="4"/>
    <n v="292"/>
    <n v="17.1875"/>
    <n v="73"/>
    <x v="14"/>
    <n v="236"/>
    <n v="1"/>
    <n v="173"/>
    <n v="4"/>
    <n v="66"/>
    <n v="21"/>
    <n v="9"/>
    <n v="0"/>
    <n v="6"/>
    <n v="2018"/>
    <n v="10.068892419999999"/>
    <n v="2808"/>
    <n v="114.49115380000001"/>
    <n v="4.2"/>
    <n v="53.625555560000002"/>
    <n v="149.9"/>
    <n v="4.3"/>
    <n v="27.626666669999999"/>
    <n v="78.900000000000006"/>
    <n v="3.5"/>
    <n v="17.327999999999999"/>
    <n v="72.95"/>
    <n v="73"/>
    <n v="94"/>
    <n v="15.515337423312884"/>
  </r>
  <r>
    <x v="25"/>
    <x v="6"/>
    <x v="14"/>
    <n v="18"/>
    <n v="1199.48"/>
    <n v="21.16444444"/>
    <n v="66.342142859999996"/>
    <x v="14"/>
    <n v="236"/>
    <n v="1"/>
    <n v="173"/>
    <n v="4"/>
    <n v="43"/>
    <n v="22"/>
    <n v="9"/>
    <n v="1"/>
    <n v="7"/>
    <n v="2018"/>
    <n v="22.337042929999999"/>
    <n v="2808"/>
    <n v="119.99"/>
    <n v="4.2"/>
    <n v="48.626666669999999"/>
    <n v="149.9"/>
    <n v="4.3"/>
    <n v="33.571538459999999"/>
    <n v="77.900000000000006"/>
    <n v="3.5"/>
    <n v="14.638571430000001"/>
    <n v="73"/>
    <n v="66.637777777777785"/>
    <n v="73"/>
    <n v="15.480122324159021"/>
  </r>
  <r>
    <x v="25"/>
    <x v="6"/>
    <x v="15"/>
    <n v="1"/>
    <n v="79.900000000000006"/>
    <n v="13.9"/>
    <n v="79.900000000000006"/>
    <x v="14"/>
    <n v="236"/>
    <n v="1"/>
    <n v="173"/>
    <n v="4"/>
    <n v="18"/>
    <n v="23"/>
    <n v="8"/>
    <n v="1"/>
    <n v="8"/>
    <n v="2018"/>
    <n v="3.1928987809999998"/>
    <n v="2808"/>
    <n v="119.99"/>
    <n v="4.2"/>
    <n v="39.045999999999999"/>
    <n v="149.9"/>
    <n v="4.3"/>
    <n v="24.76"/>
    <n v="77.900000000000006"/>
    <n v="3.5"/>
    <n v="13.414999999999999"/>
    <n v="66.342142859999996"/>
    <n v="79.900000000000006"/>
    <n v="66.637777777777785"/>
    <n v="15.487804878048781"/>
  </r>
  <r>
    <x v="26"/>
    <x v="2"/>
    <x v="2"/>
    <n v="1"/>
    <n v="19.899999999999999"/>
    <n v="11.85"/>
    <n v="19.899999999999999"/>
    <x v="10"/>
    <n v="237"/>
    <n v="3"/>
    <n v="100"/>
    <n v="3.9"/>
    <n v="13"/>
    <n v="21"/>
    <n v="10"/>
    <n v="1"/>
    <n v="7"/>
    <n v="2017"/>
    <n v="1.3698630140000001"/>
    <n v="2304"/>
    <n v="19.899999999999999"/>
    <n v="4.2"/>
    <n v="13.47307692"/>
    <n v="19.899999999999999"/>
    <n v="3.9"/>
    <n v="11.85"/>
    <n v="19.899999999999999"/>
    <n v="3.9"/>
    <n v="11.85"/>
    <n v="19.850000000000001"/>
    <n v="19.899999999999999"/>
    <s v=""/>
    <n v="15.443768996960486"/>
  </r>
  <r>
    <x v="26"/>
    <x v="2"/>
    <x v="3"/>
    <n v="11"/>
    <n v="218.9"/>
    <n v="15.832727269999999"/>
    <n v="19.899999999999999"/>
    <x v="10"/>
    <n v="237"/>
    <n v="3"/>
    <n v="100"/>
    <n v="3.9"/>
    <n v="33"/>
    <n v="23"/>
    <n v="8"/>
    <n v="1"/>
    <n v="8"/>
    <n v="2017"/>
    <n v="15.06849315"/>
    <n v="2304"/>
    <n v="19.899999999999999"/>
    <n v="4.2"/>
    <n v="16.16375"/>
    <n v="19.899999999999999"/>
    <n v="3.9"/>
    <n v="15.832727269999999"/>
    <n v="19.899999999999999"/>
    <n v="3.9"/>
    <n v="15.832727269999999"/>
    <n v="19.899999999999999"/>
    <n v="19.900000000000002"/>
    <n v="19.899999999999999"/>
    <n v="15.4"/>
  </r>
  <r>
    <x v="26"/>
    <x v="2"/>
    <x v="4"/>
    <n v="9"/>
    <n v="179.1"/>
    <n v="15.41111111"/>
    <n v="19.899999999999999"/>
    <x v="10"/>
    <n v="237"/>
    <n v="3"/>
    <n v="100"/>
    <n v="3.9"/>
    <n v="17"/>
    <n v="21"/>
    <n v="9"/>
    <n v="1"/>
    <n v="9"/>
    <n v="2017"/>
    <n v="12.32876712"/>
    <n v="2304"/>
    <n v="19.899999999999999"/>
    <n v="4.2"/>
    <n v="16.133333329999999"/>
    <n v="19.899999999999999"/>
    <n v="3.9"/>
    <n v="15.41111111"/>
    <n v="19.899999999999999"/>
    <n v="3.9"/>
    <n v="15.41111111"/>
    <n v="19.899999999999999"/>
    <n v="19.899999999999999"/>
    <n v="19.900000000000002"/>
    <n v="15.386706948640484"/>
  </r>
  <r>
    <x v="26"/>
    <x v="2"/>
    <x v="5"/>
    <n v="12"/>
    <n v="248"/>
    <n v="12.803333329999999"/>
    <n v="20.666666670000001"/>
    <x v="10"/>
    <n v="237"/>
    <n v="3"/>
    <n v="100"/>
    <n v="3.9"/>
    <n v="38"/>
    <n v="22"/>
    <n v="9"/>
    <n v="2"/>
    <n v="10"/>
    <n v="2017"/>
    <n v="16.438356160000001"/>
    <n v="2304"/>
    <n v="21.542857139999999"/>
    <n v="4.2"/>
    <n v="13.534285710000001"/>
    <n v="20.666666670000001"/>
    <n v="3.9"/>
    <n v="12.803333329999999"/>
    <n v="20.666666670000001"/>
    <n v="3.9"/>
    <n v="12.803333329999999"/>
    <n v="19.899999999999999"/>
    <n v="20.666666666666668"/>
    <n v="19.899999999999999"/>
    <n v="15.367469879518072"/>
  </r>
  <r>
    <x v="26"/>
    <x v="2"/>
    <x v="6"/>
    <n v="23"/>
    <n v="563.5"/>
    <n v="13.65217391"/>
    <n v="24.5"/>
    <x v="10"/>
    <n v="237"/>
    <n v="3"/>
    <n v="100"/>
    <n v="3.9"/>
    <n v="49"/>
    <n v="22"/>
    <n v="8"/>
    <n v="4"/>
    <n v="11"/>
    <n v="2017"/>
    <n v="31.506849320000001"/>
    <n v="2304"/>
    <n v="24.5"/>
    <n v="4.2"/>
    <n v="13.64535714"/>
    <n v="24.5"/>
    <n v="3.9"/>
    <n v="13.65217391"/>
    <n v="24.5"/>
    <n v="3.9"/>
    <n v="13.65217391"/>
    <n v="20.666666670000001"/>
    <n v="24.5"/>
    <n v="20.666666666666668"/>
    <n v="15.357357357357357"/>
  </r>
  <r>
    <x v="26"/>
    <x v="2"/>
    <x v="7"/>
    <n v="17"/>
    <n v="416.5"/>
    <n v="13.524705880000001"/>
    <n v="24.5"/>
    <x v="10"/>
    <n v="237"/>
    <n v="3"/>
    <n v="100"/>
    <n v="3.9"/>
    <n v="30"/>
    <n v="21"/>
    <n v="10"/>
    <n v="1"/>
    <n v="12"/>
    <n v="2017"/>
    <n v="23.287671230000001"/>
    <n v="2304"/>
    <n v="24.5"/>
    <n v="4.2"/>
    <n v="12.873749999999999"/>
    <n v="24.5"/>
    <n v="3.9"/>
    <n v="13.524705880000001"/>
    <n v="24.5"/>
    <n v="3.9"/>
    <n v="13.524705880000001"/>
    <n v="24.5"/>
    <n v="24.5"/>
    <n v="24.5"/>
    <n v="15.380239520958083"/>
  </r>
  <r>
    <x v="26"/>
    <x v="2"/>
    <x v="8"/>
    <n v="10"/>
    <n v="271.2"/>
    <n v="13.319000000000001"/>
    <n v="27.033333330000001"/>
    <x v="10"/>
    <n v="237"/>
    <n v="3"/>
    <n v="100"/>
    <n v="3.9"/>
    <n v="9"/>
    <n v="23"/>
    <n v="8"/>
    <n v="2"/>
    <n v="1"/>
    <n v="2018"/>
    <n v="41.666666669999998"/>
    <n v="2304"/>
    <n v="27.033333330000001"/>
    <n v="3.9"/>
    <n v="13.319000000000001"/>
    <n v="27.033333330000001"/>
    <n v="3.9"/>
    <n v="13.319000000000001"/>
    <n v="27.033333330000001"/>
    <n v="3.9"/>
    <n v="13.319000000000001"/>
    <n v="24.5"/>
    <n v="27.119999999999997"/>
    <n v="24.5"/>
    <n v="15.385074626865672"/>
  </r>
  <r>
    <x v="26"/>
    <x v="2"/>
    <x v="9"/>
    <n v="1"/>
    <n v="32.5"/>
    <n v="11.85"/>
    <n v="32.5"/>
    <x v="10"/>
    <n v="237"/>
    <n v="3"/>
    <n v="100"/>
    <n v="3.9"/>
    <n v="6"/>
    <n v="20"/>
    <n v="8"/>
    <n v="2"/>
    <n v="2"/>
    <n v="2018"/>
    <n v="4.1666666670000003"/>
    <n v="2304"/>
    <n v="32.5"/>
    <n v="4.2"/>
    <n v="15.256"/>
    <n v="32.5"/>
    <n v="3.9"/>
    <n v="11.85"/>
    <n v="32.5"/>
    <n v="3.9"/>
    <n v="11.85"/>
    <n v="27.033333330000001"/>
    <n v="32.5"/>
    <n v="27.119999999999997"/>
    <n v="15.369047619047619"/>
  </r>
  <r>
    <x v="26"/>
    <x v="2"/>
    <x v="10"/>
    <n v="7"/>
    <n v="229.2"/>
    <n v="14.02714286"/>
    <n v="32.742857139999998"/>
    <x v="10"/>
    <n v="237"/>
    <n v="3"/>
    <n v="100"/>
    <n v="3.9"/>
    <n v="13"/>
    <n v="22"/>
    <n v="9"/>
    <n v="1"/>
    <n v="3"/>
    <n v="2018"/>
    <n v="29.166666670000001"/>
    <n v="2304"/>
    <n v="32.5"/>
    <n v="4.2"/>
    <n v="18.056666669999998"/>
    <n v="32.742857139999998"/>
    <n v="3.9"/>
    <n v="14.02714286"/>
    <n v="32.742857139999998"/>
    <n v="3.9"/>
    <n v="14.02714286"/>
    <n v="32.5"/>
    <n v="32.74285714285714"/>
    <n v="32.5"/>
    <n v="15.326409495548962"/>
  </r>
  <r>
    <x v="26"/>
    <x v="2"/>
    <x v="11"/>
    <n v="6"/>
    <n v="205.2"/>
    <n v="15.015000000000001"/>
    <n v="34.200000000000003"/>
    <x v="10"/>
    <n v="237"/>
    <n v="3"/>
    <n v="100"/>
    <n v="3.9"/>
    <n v="13"/>
    <n v="21"/>
    <n v="9"/>
    <n v="1"/>
    <n v="4"/>
    <n v="2018"/>
    <n v="25"/>
    <n v="2304"/>
    <n v="35.057142859999999"/>
    <n v="4.2"/>
    <n v="12.985714290000001"/>
    <n v="34.200000000000003"/>
    <n v="3.9"/>
    <n v="15.015000000000001"/>
    <n v="34.200000000000003"/>
    <n v="3.9"/>
    <n v="15.015000000000001"/>
    <n v="32.742857139999998"/>
    <n v="34.199999999999996"/>
    <n v="32.74285714285714"/>
    <n v="15.301775147928995"/>
  </r>
  <r>
    <x v="27"/>
    <x v="3"/>
    <x v="19"/>
    <n v="8"/>
    <n v="2799.2"/>
    <n v="22.901250000000001"/>
    <n v="349.9"/>
    <x v="15"/>
    <n v="625"/>
    <n v="1"/>
    <n v="900"/>
    <n v="4.3"/>
    <n v="9"/>
    <n v="22"/>
    <n v="9"/>
    <n v="1"/>
    <n v="1"/>
    <n v="2017"/>
    <n v="12.77173913"/>
    <n v="11400"/>
    <n v="349.9"/>
    <n v="4.3"/>
    <n v="22.901250000000001"/>
    <n v="349.9"/>
    <n v="4.3"/>
    <n v="22.901250000000001"/>
    <n v="64.989999999999995"/>
    <n v="3.9"/>
    <n v="11.06"/>
    <n v="349.85"/>
    <n v="349.9"/>
    <s v=""/>
    <n v="15.274336283185841"/>
  </r>
  <r>
    <x v="27"/>
    <x v="3"/>
    <x v="18"/>
    <n v="4"/>
    <n v="1399.6"/>
    <n v="26.927499999999998"/>
    <n v="349.9"/>
    <x v="15"/>
    <n v="625"/>
    <n v="1"/>
    <n v="900"/>
    <n v="4.3"/>
    <n v="19"/>
    <n v="20"/>
    <n v="8"/>
    <n v="2"/>
    <n v="2"/>
    <n v="2017"/>
    <n v="11.27717391"/>
    <n v="11400"/>
    <n v="19.989999999999998"/>
    <n v="4.3"/>
    <n v="11.75090909"/>
    <n v="349.9"/>
    <n v="4.3"/>
    <n v="26.927499999999998"/>
    <n v="64.989999999999995"/>
    <n v="3.9"/>
    <n v="15.348000000000001"/>
    <n v="349.9"/>
    <n v="349.9"/>
    <n v="349.9"/>
    <n v="15.252941176470589"/>
  </r>
  <r>
    <x v="27"/>
    <x v="3"/>
    <x v="16"/>
    <n v="2"/>
    <n v="699.8"/>
    <n v="21.274999999999999"/>
    <n v="349.9"/>
    <x v="15"/>
    <n v="625"/>
    <n v="1"/>
    <n v="900"/>
    <n v="4.3"/>
    <n v="25"/>
    <n v="23"/>
    <n v="8"/>
    <n v="1"/>
    <n v="3"/>
    <n v="2017"/>
    <n v="10.801630429999999"/>
    <n v="11400"/>
    <n v="19.989999999999998"/>
    <n v="4.3"/>
    <n v="13.81888889"/>
    <n v="89.99"/>
    <n v="4.0999999999999996"/>
    <n v="13.02"/>
    <n v="64.989999999999995"/>
    <n v="3.9"/>
    <n v="17.262222220000002"/>
    <n v="349.9"/>
    <n v="349.9"/>
    <n v="349.9"/>
    <n v="15.219941348973608"/>
  </r>
  <r>
    <x v="27"/>
    <x v="3"/>
    <x v="17"/>
    <n v="1"/>
    <n v="349.9"/>
    <n v="19.29"/>
    <n v="349.9"/>
    <x v="15"/>
    <n v="625"/>
    <n v="1"/>
    <n v="900"/>
    <n v="4.3"/>
    <n v="23"/>
    <n v="20"/>
    <n v="10"/>
    <n v="2"/>
    <n v="4"/>
    <n v="2017"/>
    <n v="4.5855978259999999"/>
    <n v="11400"/>
    <n v="19.989999999999998"/>
    <n v="4.3"/>
    <n v="18.03846154"/>
    <n v="349.9"/>
    <n v="4.3"/>
    <n v="19.29"/>
    <n v="64.989999999999995"/>
    <n v="3.9"/>
    <n v="15.16888889"/>
    <n v="349.9"/>
    <n v="349.9"/>
    <n v="349.9"/>
    <n v="15.181286549707602"/>
  </r>
  <r>
    <x v="27"/>
    <x v="3"/>
    <x v="0"/>
    <n v="4"/>
    <n v="1399.6"/>
    <n v="26.73"/>
    <n v="349.9"/>
    <x v="15"/>
    <n v="625"/>
    <n v="1"/>
    <n v="900"/>
    <n v="4.3"/>
    <n v="41"/>
    <n v="23"/>
    <n v="8"/>
    <n v="1"/>
    <n v="5"/>
    <n v="2017"/>
    <n v="8.5597826090000009"/>
    <n v="11400"/>
    <n v="19.989999999999998"/>
    <n v="4.3"/>
    <n v="14.8475"/>
    <n v="89.99"/>
    <n v="4.0999999999999996"/>
    <n v="16.098333329999999"/>
    <n v="64.989999999999995"/>
    <n v="3.9"/>
    <n v="14.811875000000001"/>
    <n v="349.9"/>
    <n v="349.9"/>
    <n v="349.9"/>
    <n v="15.139941690962099"/>
  </r>
  <r>
    <x v="27"/>
    <x v="3"/>
    <x v="1"/>
    <n v="2"/>
    <n v="699.8"/>
    <n v="24.504999999999999"/>
    <n v="349.9"/>
    <x v="15"/>
    <n v="625"/>
    <n v="1"/>
    <n v="900"/>
    <n v="4.3"/>
    <n v="53"/>
    <n v="22"/>
    <n v="8"/>
    <n v="1"/>
    <n v="6"/>
    <n v="2017"/>
    <n v="7.5407608699999997"/>
    <n v="11400"/>
    <n v="19.989999999999998"/>
    <n v="4.3"/>
    <n v="12.68333333"/>
    <n v="89.99"/>
    <n v="4.0999999999999996"/>
    <n v="14.16333333"/>
    <n v="58.799523809999997"/>
    <n v="3.9"/>
    <n v="13.903333330000001"/>
    <n v="349.9"/>
    <n v="349.9"/>
    <n v="349.9"/>
    <n v="15.107558139534884"/>
  </r>
  <r>
    <x v="27"/>
    <x v="3"/>
    <x v="2"/>
    <n v="1"/>
    <n v="349.9"/>
    <n v="29.3"/>
    <n v="349.9"/>
    <x v="15"/>
    <n v="625"/>
    <n v="1"/>
    <n v="900"/>
    <n v="4.3"/>
    <n v="61"/>
    <n v="21"/>
    <n v="10"/>
    <n v="1"/>
    <n v="7"/>
    <n v="2017"/>
    <n v="6.7595108699999997"/>
    <n v="11400"/>
    <n v="19.989999999999998"/>
    <n v="4.3"/>
    <n v="11.135172409999999"/>
    <n v="89.99"/>
    <n v="4.0999999999999996"/>
    <n v="12.11882353"/>
    <n v="59.256666670000001"/>
    <n v="3.9"/>
    <n v="17.998000000000001"/>
    <n v="349.9"/>
    <n v="349.9"/>
    <n v="349.9"/>
    <n v="15.069565217391304"/>
  </r>
  <r>
    <x v="27"/>
    <x v="3"/>
    <x v="3"/>
    <n v="7"/>
    <n v="2449.3000000000002"/>
    <n v="29.94714286"/>
    <n v="349.9"/>
    <x v="15"/>
    <n v="625"/>
    <n v="1"/>
    <n v="900"/>
    <n v="4.3"/>
    <n v="82"/>
    <n v="23"/>
    <n v="8"/>
    <n v="1"/>
    <n v="8"/>
    <n v="2017"/>
    <n v="10.36005435"/>
    <n v="11400"/>
    <n v="23.39740741"/>
    <n v="4.3"/>
    <n v="14.27678571"/>
    <n v="89.99"/>
    <n v="4.0999999999999996"/>
    <n v="13.410555560000001"/>
    <n v="58.99"/>
    <n v="3.9"/>
    <n v="16.240909089999999"/>
    <n v="349.9"/>
    <n v="349.90000000000003"/>
    <n v="349.9"/>
    <n v="15.028901734104046"/>
  </r>
  <r>
    <x v="27"/>
    <x v="3"/>
    <x v="4"/>
    <n v="7"/>
    <n v="2449.3000000000002"/>
    <n v="26.582857140000002"/>
    <n v="349.9"/>
    <x v="15"/>
    <n v="625"/>
    <n v="1"/>
    <n v="900"/>
    <n v="4.3"/>
    <n v="89"/>
    <n v="21"/>
    <n v="9"/>
    <n v="1"/>
    <n v="9"/>
    <n v="2017"/>
    <n v="10.9375"/>
    <n v="11400"/>
    <n v="23.99"/>
    <n v="4.3"/>
    <n v="16.12"/>
    <n v="89.99"/>
    <n v="4.0999999999999996"/>
    <n v="13.96428571"/>
    <n v="58.99"/>
    <n v="3.9"/>
    <n v="15.639200000000001"/>
    <n v="349.9"/>
    <n v="349.90000000000003"/>
    <n v="349.90000000000003"/>
    <n v="15.005763688760807"/>
  </r>
  <r>
    <x v="27"/>
    <x v="3"/>
    <x v="5"/>
    <n v="10"/>
    <n v="3499"/>
    <n v="22.84"/>
    <n v="349.9"/>
    <x v="15"/>
    <n v="625"/>
    <n v="1"/>
    <n v="900"/>
    <n v="4.3"/>
    <n v="81"/>
    <n v="22"/>
    <n v="9"/>
    <n v="2"/>
    <n v="10"/>
    <n v="2017"/>
    <n v="15.625"/>
    <n v="11400"/>
    <n v="23.99"/>
    <n v="4.3"/>
    <n v="13.13666667"/>
    <n v="89.99"/>
    <n v="4.0999999999999996"/>
    <n v="16.56291667"/>
    <n v="58.99"/>
    <n v="3.9"/>
    <n v="19.065263160000001"/>
    <n v="349.9"/>
    <n v="349.9"/>
    <n v="349.90000000000003"/>
    <n v="14.982758620689655"/>
  </r>
  <r>
    <x v="27"/>
    <x v="3"/>
    <x v="6"/>
    <n v="11"/>
    <n v="3543.5"/>
    <n v="20.47818182"/>
    <n v="322.13636359999998"/>
    <x v="15"/>
    <n v="625"/>
    <n v="1"/>
    <n v="900"/>
    <n v="4.3"/>
    <n v="139"/>
    <n v="22"/>
    <n v="8"/>
    <n v="4"/>
    <n v="11"/>
    <n v="2017"/>
    <n v="17.1875"/>
    <n v="11400"/>
    <n v="23.99"/>
    <n v="4.3"/>
    <n v="12.37535714"/>
    <n v="89.99"/>
    <n v="4.0999999999999996"/>
    <n v="16.99038462"/>
    <n v="58.99"/>
    <n v="3.9"/>
    <n v="15.71166667"/>
    <n v="349.9"/>
    <n v="322.13636363636363"/>
    <n v="349.9"/>
    <n v="14.968481375358166"/>
  </r>
  <r>
    <x v="27"/>
    <x v="3"/>
    <x v="7"/>
    <n v="7"/>
    <n v="2449.3000000000002"/>
    <n v="29.09285714"/>
    <n v="349.9"/>
    <x v="15"/>
    <n v="625"/>
    <n v="1"/>
    <n v="900"/>
    <n v="4.3"/>
    <n v="112"/>
    <n v="21"/>
    <n v="10"/>
    <n v="1"/>
    <n v="12"/>
    <n v="2017"/>
    <n v="10.9375"/>
    <n v="11400"/>
    <n v="23.99"/>
    <n v="4.3"/>
    <n v="12.45684211"/>
    <n v="89.99"/>
    <n v="4.0999999999999996"/>
    <n v="15.89473684"/>
    <n v="58.99"/>
    <n v="3.9"/>
    <n v="16.332222219999998"/>
    <n v="322.13636359999998"/>
    <n v="349.90000000000003"/>
    <n v="322.13636363636363"/>
    <n v="14.957142857142857"/>
  </r>
  <r>
    <x v="27"/>
    <x v="3"/>
    <x v="8"/>
    <n v="12"/>
    <n v="4198.8"/>
    <n v="28.41416667"/>
    <n v="349.9"/>
    <x v="15"/>
    <n v="625"/>
    <n v="1"/>
    <n v="900"/>
    <n v="4.3"/>
    <n v="98"/>
    <n v="23"/>
    <n v="8"/>
    <n v="2"/>
    <n v="1"/>
    <n v="2018"/>
    <n v="12.77173913"/>
    <n v="11400"/>
    <n v="23.99"/>
    <n v="4.3"/>
    <n v="11.28736842"/>
    <n v="89.99"/>
    <n v="4.0999999999999996"/>
    <n v="14.811"/>
    <n v="58.99"/>
    <n v="3.9"/>
    <n v="22.678333330000001"/>
    <n v="349.9"/>
    <n v="349.90000000000003"/>
    <n v="349.90000000000003"/>
    <n v="14.934472934472934"/>
  </r>
  <r>
    <x v="27"/>
    <x v="3"/>
    <x v="9"/>
    <n v="15"/>
    <n v="5248.5"/>
    <n v="23.205333329999998"/>
    <n v="349.9"/>
    <x v="15"/>
    <n v="625"/>
    <n v="1"/>
    <n v="900"/>
    <n v="4.3"/>
    <n v="126"/>
    <n v="20"/>
    <n v="8"/>
    <n v="2"/>
    <n v="2"/>
    <n v="2018"/>
    <n v="11.27717391"/>
    <n v="11400"/>
    <n v="23.99"/>
    <n v="4.3"/>
    <n v="12.55"/>
    <n v="89.99"/>
    <n v="4.0999999999999996"/>
    <n v="16.307647060000001"/>
    <n v="58.99"/>
    <n v="3.9"/>
    <n v="19.574999999999999"/>
    <n v="349.9"/>
    <n v="349.9"/>
    <n v="349.90000000000003"/>
    <n v="14.926136363636363"/>
  </r>
  <r>
    <x v="27"/>
    <x v="3"/>
    <x v="10"/>
    <n v="17"/>
    <n v="5948.3"/>
    <n v="29.6"/>
    <n v="349.9"/>
    <x v="15"/>
    <n v="625"/>
    <n v="1"/>
    <n v="900"/>
    <n v="4.3"/>
    <n v="169"/>
    <n v="22"/>
    <n v="9"/>
    <n v="1"/>
    <n v="3"/>
    <n v="2018"/>
    <n v="10.801630429999999"/>
    <n v="11400"/>
    <n v="23.99"/>
    <n v="4.3"/>
    <n v="14.19875"/>
    <n v="83.74"/>
    <n v="4.0999999999999996"/>
    <n v="11.876875"/>
    <n v="58.99"/>
    <n v="3.9"/>
    <n v="15.228"/>
    <n v="349.9"/>
    <n v="349.90000000000003"/>
    <n v="349.9"/>
    <n v="14.926345609065155"/>
  </r>
  <r>
    <x v="27"/>
    <x v="3"/>
    <x v="11"/>
    <n v="7"/>
    <n v="2449.3000000000002"/>
    <n v="25.641428569999999"/>
    <n v="349.9"/>
    <x v="15"/>
    <n v="625"/>
    <n v="1"/>
    <n v="900"/>
    <n v="4.3"/>
    <n v="118"/>
    <n v="21"/>
    <n v="9"/>
    <n v="1"/>
    <n v="4"/>
    <n v="2018"/>
    <n v="4.5855978259999999"/>
    <n v="11400"/>
    <n v="349.9"/>
    <n v="4.3"/>
    <n v="25.641428569999999"/>
    <n v="79.989999999999995"/>
    <n v="4.0999999999999996"/>
    <n v="14.484999999999999"/>
    <n v="58.99"/>
    <n v="3.9"/>
    <n v="16.302727269999998"/>
    <n v="349.9"/>
    <n v="349.90000000000003"/>
    <n v="349.90000000000003"/>
    <n v="14.932203389830509"/>
  </r>
  <r>
    <x v="27"/>
    <x v="3"/>
    <x v="12"/>
    <n v="10"/>
    <n v="3513.1"/>
    <n v="38.57"/>
    <n v="352.25"/>
    <x v="15"/>
    <n v="625"/>
    <n v="1"/>
    <n v="900"/>
    <n v="4.3"/>
    <n v="159"/>
    <n v="23"/>
    <n v="8"/>
    <n v="3"/>
    <n v="5"/>
    <n v="2018"/>
    <n v="8.5597826090000009"/>
    <n v="11400"/>
    <n v="23.99"/>
    <n v="4.3"/>
    <n v="7.9885714290000003"/>
    <n v="79.989999999999995"/>
    <n v="4.0999999999999996"/>
    <n v="21.943124999999998"/>
    <n v="58.99"/>
    <n v="3.9"/>
    <n v="9.4224999999999994"/>
    <n v="349.9"/>
    <n v="351.31"/>
    <n v="349.90000000000003"/>
    <n v="14.909859154929578"/>
  </r>
  <r>
    <x v="27"/>
    <x v="3"/>
    <x v="13"/>
    <n v="11"/>
    <n v="4004"/>
    <n v="32.697272730000002"/>
    <n v="364"/>
    <x v="15"/>
    <n v="625"/>
    <n v="1"/>
    <n v="900"/>
    <n v="4.3"/>
    <n v="131"/>
    <n v="21"/>
    <n v="9"/>
    <n v="0"/>
    <n v="6"/>
    <n v="2018"/>
    <n v="7.5407608699999997"/>
    <n v="11400"/>
    <n v="23.99"/>
    <n v="4.3"/>
    <n v="16.27"/>
    <n v="79.989999999999995"/>
    <n v="4.0999999999999996"/>
    <n v="13.36230769"/>
    <n v="58.99"/>
    <n v="3.9"/>
    <n v="16.43"/>
    <n v="352.25"/>
    <n v="364"/>
    <n v="351.31"/>
    <n v="14.896067415730338"/>
  </r>
  <r>
    <x v="27"/>
    <x v="3"/>
    <x v="14"/>
    <n v="11"/>
    <n v="4004"/>
    <n v="36.246363639999998"/>
    <n v="364"/>
    <x v="15"/>
    <n v="625"/>
    <n v="1"/>
    <n v="900"/>
    <n v="4.3"/>
    <n v="113"/>
    <n v="22"/>
    <n v="9"/>
    <n v="1"/>
    <n v="7"/>
    <n v="2018"/>
    <n v="6.7595108699999997"/>
    <n v="11400"/>
    <n v="23.99"/>
    <n v="4.3"/>
    <n v="18.809999999999999"/>
    <n v="79.989999999999995"/>
    <n v="4.0999999999999996"/>
    <n v="16.745000000000001"/>
    <n v="58.99"/>
    <n v="3.9"/>
    <n v="7.67"/>
    <n v="364"/>
    <n v="364"/>
    <n v="364"/>
    <n v="14.88515406162465"/>
  </r>
  <r>
    <x v="27"/>
    <x v="3"/>
    <x v="15"/>
    <n v="9"/>
    <n v="3276"/>
    <n v="28.551111110000001"/>
    <n v="364"/>
    <x v="15"/>
    <n v="625"/>
    <n v="1"/>
    <n v="900"/>
    <n v="4.3"/>
    <n v="127"/>
    <n v="23"/>
    <n v="8"/>
    <n v="1"/>
    <n v="8"/>
    <n v="2018"/>
    <n v="10.36005435"/>
    <n v="11400"/>
    <n v="23.99"/>
    <n v="4.3"/>
    <n v="16.77"/>
    <n v="82.821428569999995"/>
    <n v="4.0999999999999996"/>
    <n v="12.41857143"/>
    <n v="58.99"/>
    <n v="3.9"/>
    <n v="12.08333333"/>
    <n v="364"/>
    <n v="364"/>
    <n v="364"/>
    <n v="14.874301675977653"/>
  </r>
  <r>
    <x v="28"/>
    <x v="7"/>
    <x v="2"/>
    <n v="2"/>
    <n v="479.8"/>
    <n v="14.805"/>
    <n v="239.9"/>
    <x v="11"/>
    <n v="640"/>
    <n v="1"/>
    <n v="335"/>
    <n v="4.0999999999999996"/>
    <n v="29"/>
    <n v="21"/>
    <n v="10"/>
    <n v="1"/>
    <n v="7"/>
    <n v="2017"/>
    <n v="31.194690269999999"/>
    <n v="2992"/>
    <n v="161.5909091"/>
    <n v="4.2"/>
    <n v="15.525454549999999"/>
    <n v="239.9"/>
    <n v="4.0999999999999996"/>
    <n v="14.805"/>
    <n v="197.38300000000001"/>
    <n v="3.8"/>
    <n v="16.606000000000002"/>
    <n v="239.85"/>
    <n v="239.9"/>
    <s v=""/>
    <n v="14.857938718662952"/>
  </r>
  <r>
    <x v="28"/>
    <x v="7"/>
    <x v="5"/>
    <n v="2"/>
    <n v="479.8"/>
    <n v="11.22"/>
    <n v="239.9"/>
    <x v="11"/>
    <n v="640"/>
    <n v="1"/>
    <n v="335"/>
    <n v="4.0999999999999996"/>
    <n v="43"/>
    <n v="22"/>
    <n v="9"/>
    <n v="2"/>
    <n v="10"/>
    <n v="2017"/>
    <n v="50"/>
    <n v="2992"/>
    <n v="134.9"/>
    <n v="4.2"/>
    <n v="6.81"/>
    <n v="239.9"/>
    <n v="4.0999999999999996"/>
    <n v="11.22"/>
    <n v="232.49"/>
    <n v="3.8"/>
    <n v="14.2125"/>
    <n v="239.85"/>
    <n v="239.9"/>
    <n v="239.9"/>
    <n v="14.822222222222223"/>
  </r>
  <r>
    <x v="28"/>
    <x v="7"/>
    <x v="8"/>
    <n v="2"/>
    <n v="459.8"/>
    <n v="16.36"/>
    <n v="229.9"/>
    <x v="11"/>
    <n v="640"/>
    <n v="1"/>
    <n v="335"/>
    <n v="4.0999999999999996"/>
    <n v="59"/>
    <n v="23"/>
    <n v="8"/>
    <n v="2"/>
    <n v="1"/>
    <n v="2018"/>
    <n v="1.769911504"/>
    <n v="2992"/>
    <n v="229.9"/>
    <n v="4.0999999999999996"/>
    <n v="16.36"/>
    <n v="108"/>
    <n v="4.2"/>
    <n v="16.196363640000001"/>
    <n v="199"/>
    <n v="3.8"/>
    <n v="21.88"/>
    <n v="229.85"/>
    <n v="229.9"/>
    <n v="239.9"/>
    <n v="14.786703601108034"/>
  </r>
  <r>
    <x v="28"/>
    <x v="7"/>
    <x v="9"/>
    <n v="11"/>
    <n v="2250.8000000000002"/>
    <n v="17.025454549999999"/>
    <n v="204.6181818"/>
    <x v="11"/>
    <n v="640"/>
    <n v="1"/>
    <n v="335"/>
    <n v="4.0999999999999996"/>
    <n v="90"/>
    <n v="20"/>
    <n v="8"/>
    <n v="2"/>
    <n v="2"/>
    <n v="2018"/>
    <n v="9.7345132739999993"/>
    <n v="2992"/>
    <n v="128.2416667"/>
    <n v="4.2"/>
    <n v="15.926666669999999"/>
    <n v="108"/>
    <n v="4.2"/>
    <n v="18.253636360000002"/>
    <n v="182"/>
    <n v="3.8"/>
    <n v="19.329999999999998"/>
    <n v="229.9"/>
    <n v="204.61818181818182"/>
    <n v="229.9"/>
    <n v="14.751381215469614"/>
  </r>
  <r>
    <x v="28"/>
    <x v="7"/>
    <x v="10"/>
    <n v="16"/>
    <n v="2680"/>
    <n v="17.154375000000002"/>
    <n v="167.5"/>
    <x v="11"/>
    <n v="640"/>
    <n v="1"/>
    <n v="335"/>
    <n v="4.0999999999999996"/>
    <n v="125"/>
    <n v="22"/>
    <n v="9"/>
    <n v="1"/>
    <n v="3"/>
    <n v="2018"/>
    <n v="14.15929204"/>
    <n v="2992"/>
    <n v="117.44129030000001"/>
    <n v="4.2"/>
    <n v="18.261290320000001"/>
    <n v="105.6428571"/>
    <n v="4.2"/>
    <n v="21.6652381"/>
    <n v="151.87843749999999"/>
    <n v="3.8"/>
    <n v="20.313749999999999"/>
    <n v="204.6181818"/>
    <n v="167.5"/>
    <n v="204.61818181818182"/>
    <n v="14.741046831955924"/>
  </r>
  <r>
    <x v="28"/>
    <x v="7"/>
    <x v="11"/>
    <n v="26"/>
    <n v="3908.9"/>
    <n v="17.501923080000001"/>
    <n v="150.34230769999999"/>
    <x v="11"/>
    <n v="640"/>
    <n v="1"/>
    <n v="335"/>
    <n v="4.0999999999999996"/>
    <n v="178"/>
    <n v="21"/>
    <n v="9"/>
    <n v="1"/>
    <n v="4"/>
    <n v="2018"/>
    <n v="23.008849560000002"/>
    <n v="2992"/>
    <n v="105.648625"/>
    <n v="4.2"/>
    <n v="2.1816470589999999"/>
    <n v="105"/>
    <n v="4.2"/>
    <n v="13.631428570000001"/>
    <n v="150.1333333"/>
    <n v="3.8"/>
    <n v="19.447777779999999"/>
    <n v="167.5"/>
    <n v="150.34230769230768"/>
    <n v="167.5"/>
    <n v="14.744505494505495"/>
  </r>
  <r>
    <x v="28"/>
    <x v="7"/>
    <x v="12"/>
    <n v="30"/>
    <n v="4355"/>
    <n v="16.259"/>
    <n v="145.16666670000001"/>
    <x v="11"/>
    <n v="640"/>
    <n v="1"/>
    <n v="335"/>
    <n v="4.0999999999999996"/>
    <n v="260"/>
    <n v="23"/>
    <n v="8"/>
    <n v="3"/>
    <n v="5"/>
    <n v="2018"/>
    <n v="26.548672570000001"/>
    <n v="2992"/>
    <n v="103.79252339999999"/>
    <n v="4.2"/>
    <n v="9.5438596000000001E-2"/>
    <n v="105"/>
    <n v="4.2"/>
    <n v="11.3772973"/>
    <n v="132.53125"/>
    <n v="3.8"/>
    <n v="15.7621875"/>
    <n v="150.34230769999999"/>
    <n v="145.16666666666666"/>
    <n v="150.34230769230768"/>
    <n v="14.775342465753425"/>
  </r>
  <r>
    <x v="28"/>
    <x v="7"/>
    <x v="13"/>
    <n v="3"/>
    <n v="457.9"/>
    <n v="19.170000000000002"/>
    <n v="152.6333333"/>
    <x v="11"/>
    <n v="640"/>
    <n v="1"/>
    <n v="335"/>
    <n v="4.0999999999999996"/>
    <n v="93"/>
    <n v="21"/>
    <n v="9"/>
    <n v="0"/>
    <n v="6"/>
    <n v="2018"/>
    <n v="2.6548672569999998"/>
    <n v="2992"/>
    <n v="119"/>
    <n v="4.2"/>
    <n v="19.206666670000001"/>
    <n v="105"/>
    <n v="4.2"/>
    <n v="23.823571430000001"/>
    <n v="138.22"/>
    <n v="3.8"/>
    <n v="16.108000000000001"/>
    <n v="145.16666670000001"/>
    <n v="152.63333333333333"/>
    <n v="145.16666666666666"/>
    <n v="14.816939890710383"/>
  </r>
  <r>
    <x v="28"/>
    <x v="7"/>
    <x v="14"/>
    <n v="14"/>
    <n v="2200"/>
    <n v="16.65714286"/>
    <n v="157.14285709999999"/>
    <x v="11"/>
    <n v="640"/>
    <n v="1"/>
    <n v="335"/>
    <n v="4.0999999999999996"/>
    <n v="122"/>
    <n v="22"/>
    <n v="9"/>
    <n v="1"/>
    <n v="7"/>
    <n v="2018"/>
    <n v="31.194690269999999"/>
    <n v="2992"/>
    <n v="118.3636364"/>
    <n v="4.2"/>
    <n v="15.48"/>
    <n v="105"/>
    <n v="4.2"/>
    <n v="24.938749999999999"/>
    <n v="155"/>
    <n v="3.8"/>
    <n v="16.47"/>
    <n v="152.6333333"/>
    <n v="157.14285714285714"/>
    <n v="152.63333333333333"/>
    <n v="14.784741144414168"/>
  </r>
  <r>
    <x v="28"/>
    <x v="7"/>
    <x v="15"/>
    <n v="11"/>
    <n v="1737.4"/>
    <n v="14.592727269999999"/>
    <n v="157.94545450000001"/>
    <x v="11"/>
    <n v="640"/>
    <n v="1"/>
    <n v="335"/>
    <n v="4.0999999999999996"/>
    <n v="61"/>
    <n v="23"/>
    <n v="8"/>
    <n v="1"/>
    <n v="8"/>
    <n v="2018"/>
    <n v="9.7345132739999993"/>
    <n v="2992"/>
    <n v="112"/>
    <n v="4.2"/>
    <n v="13.44"/>
    <n v="105"/>
    <n v="4.2"/>
    <n v="23.385714289999999"/>
    <n v="145.55090910000001"/>
    <n v="3.8"/>
    <n v="21.897272730000001"/>
    <n v="157.14285709999999"/>
    <n v="157.94545454545457"/>
    <n v="157.14285714285714"/>
    <n v="14.782608695652174"/>
  </r>
  <r>
    <x v="29"/>
    <x v="8"/>
    <x v="6"/>
    <n v="1"/>
    <n v="99.9"/>
    <n v="21.19"/>
    <n v="99.9"/>
    <x v="3"/>
    <n v="272"/>
    <n v="1"/>
    <n v="2500"/>
    <n v="4.4000000000000004"/>
    <n v="64"/>
    <n v="22"/>
    <n v="8"/>
    <n v="4"/>
    <n v="11"/>
    <n v="2017"/>
    <n v="25"/>
    <n v="12000"/>
    <n v="75"/>
    <n v="4.0999999999999996"/>
    <n v="16.13272727"/>
    <n v="36.854285709999999"/>
    <n v="3.7"/>
    <n v="13.65214286"/>
    <n v="99.9"/>
    <n v="4.4000000000000004"/>
    <n v="21.19"/>
    <n v="99.85"/>
    <n v="99.9"/>
    <s v=""/>
    <n v="14.772357723577235"/>
  </r>
  <r>
    <x v="29"/>
    <x v="8"/>
    <x v="7"/>
    <n v="3"/>
    <n v="299.7"/>
    <n v="20.646666669999998"/>
    <n v="99.9"/>
    <x v="3"/>
    <n v="272"/>
    <n v="1"/>
    <n v="2500"/>
    <n v="4.4000000000000004"/>
    <n v="40"/>
    <n v="21"/>
    <n v="10"/>
    <n v="1"/>
    <n v="12"/>
    <n v="2017"/>
    <n v="75"/>
    <n v="12000"/>
    <n v="75"/>
    <n v="4.0999999999999996"/>
    <n v="17.446382979999999"/>
    <n v="99.9"/>
    <n v="4.4000000000000004"/>
    <n v="20.646666669999998"/>
    <n v="99.9"/>
    <n v="4.4000000000000004"/>
    <n v="20.646666669999998"/>
    <n v="99.9"/>
    <n v="99.899999999999991"/>
    <n v="99.9"/>
    <n v="14.735135135135135"/>
  </r>
  <r>
    <x v="29"/>
    <x v="8"/>
    <x v="8"/>
    <n v="13"/>
    <n v="1298.7"/>
    <n v="22.819230770000001"/>
    <n v="99.9"/>
    <x v="3"/>
    <n v="272"/>
    <n v="1"/>
    <n v="2500"/>
    <n v="4.4000000000000004"/>
    <n v="125"/>
    <n v="23"/>
    <n v="8"/>
    <n v="2"/>
    <n v="1"/>
    <n v="2018"/>
    <n v="13.40206186"/>
    <n v="12000"/>
    <n v="69.995327099999997"/>
    <n v="4.0999999999999996"/>
    <n v="17.663114749999998"/>
    <n v="38.4"/>
    <n v="3.7"/>
    <n v="9.34"/>
    <n v="99.9"/>
    <n v="4.4000000000000004"/>
    <n v="22.819230770000001"/>
    <n v="99.9"/>
    <n v="99.9"/>
    <n v="99.899999999999991"/>
    <n v="14.703504043126685"/>
  </r>
  <r>
    <x v="29"/>
    <x v="8"/>
    <x v="9"/>
    <n v="13"/>
    <n v="1298.7"/>
    <n v="28.89076923"/>
    <n v="99.9"/>
    <x v="3"/>
    <n v="272"/>
    <n v="1"/>
    <n v="2500"/>
    <n v="4.4000000000000004"/>
    <n v="52"/>
    <n v="20"/>
    <n v="8"/>
    <n v="2"/>
    <n v="2"/>
    <n v="2018"/>
    <n v="13.40206186"/>
    <n v="12000"/>
    <n v="69.900000000000006"/>
    <n v="4.0999999999999996"/>
    <n v="16.115909089999999"/>
    <n v="38.4"/>
    <n v="3.7"/>
    <n v="18.685555560000001"/>
    <n v="99.9"/>
    <n v="4.4000000000000004"/>
    <n v="28.89076923"/>
    <n v="99.9"/>
    <n v="99.9"/>
    <n v="99.9"/>
    <n v="14.698924731182796"/>
  </r>
  <r>
    <x v="29"/>
    <x v="8"/>
    <x v="10"/>
    <n v="12"/>
    <n v="1198.8"/>
    <n v="22.145833329999999"/>
    <n v="99.9"/>
    <x v="3"/>
    <n v="272"/>
    <n v="1"/>
    <n v="2500"/>
    <n v="4.4000000000000004"/>
    <n v="83"/>
    <n v="22"/>
    <n v="9"/>
    <n v="1"/>
    <n v="3"/>
    <n v="2018"/>
    <n v="12.37113402"/>
    <n v="12000"/>
    <n v="69.900000000000006"/>
    <n v="4.0999999999999996"/>
    <n v="18.425076919999999"/>
    <n v="35.485714289999997"/>
    <n v="3.7"/>
    <n v="15.44823529"/>
    <n v="99.9"/>
    <n v="4.4000000000000004"/>
    <n v="22.145833329999999"/>
    <n v="99.9"/>
    <n v="99.899999999999991"/>
    <n v="99.9"/>
    <n v="14.694369973190348"/>
  </r>
  <r>
    <x v="29"/>
    <x v="8"/>
    <x v="11"/>
    <n v="13"/>
    <n v="1298.7"/>
    <n v="23.32769231"/>
    <n v="99.9"/>
    <x v="3"/>
    <n v="272"/>
    <n v="1"/>
    <n v="2500"/>
    <n v="4.4000000000000004"/>
    <n v="92"/>
    <n v="21"/>
    <n v="9"/>
    <n v="1"/>
    <n v="4"/>
    <n v="2018"/>
    <n v="13.40206186"/>
    <n v="12000"/>
    <n v="69.900000000000006"/>
    <n v="4.0999999999999996"/>
    <n v="9.0715662649999995"/>
    <n v="35"/>
    <n v="3.7"/>
    <n v="13.46941176"/>
    <n v="99.9"/>
    <n v="4.4000000000000004"/>
    <n v="23.32769231"/>
    <n v="99.9"/>
    <n v="99.9"/>
    <n v="99.899999999999991"/>
    <n v="14.68716577540107"/>
  </r>
  <r>
    <x v="29"/>
    <x v="8"/>
    <x v="12"/>
    <n v="13"/>
    <n v="1298.7"/>
    <n v="19.41076923"/>
    <n v="99.9"/>
    <x v="3"/>
    <n v="272"/>
    <n v="1"/>
    <n v="2500"/>
    <n v="4.4000000000000004"/>
    <n v="95"/>
    <n v="23"/>
    <n v="8"/>
    <n v="3"/>
    <n v="5"/>
    <n v="2018"/>
    <n v="13.40206186"/>
    <n v="12000"/>
    <n v="69.900000000000006"/>
    <n v="4.0999999999999996"/>
    <n v="3.8016304349999999"/>
    <n v="35"/>
    <n v="3.7"/>
    <n v="14.634545449999999"/>
    <n v="99.9"/>
    <n v="4.4000000000000004"/>
    <n v="19.41076923"/>
    <n v="99.9"/>
    <n v="99.9"/>
    <n v="99.9"/>
    <n v="14.682666666666666"/>
  </r>
  <r>
    <x v="29"/>
    <x v="8"/>
    <x v="13"/>
    <n v="10"/>
    <n v="999"/>
    <n v="25.635999999999999"/>
    <n v="99.9"/>
    <x v="3"/>
    <n v="272"/>
    <n v="1"/>
    <n v="2500"/>
    <n v="4.4000000000000004"/>
    <n v="18"/>
    <n v="21"/>
    <n v="9"/>
    <n v="0"/>
    <n v="6"/>
    <n v="2018"/>
    <n v="10.30927835"/>
    <n v="12000"/>
    <n v="89.9"/>
    <n v="4.0999999999999996"/>
    <n v="21.93"/>
    <n v="35"/>
    <n v="3.7"/>
    <n v="18.10153846"/>
    <n v="99.9"/>
    <n v="4.4000000000000004"/>
    <n v="25.635999999999999"/>
    <n v="99.9"/>
    <n v="99.9"/>
    <n v="99.9"/>
    <n v="14.678191489361701"/>
  </r>
  <r>
    <x v="29"/>
    <x v="8"/>
    <x v="14"/>
    <n v="14"/>
    <n v="1099.5"/>
    <n v="23.847142860000002"/>
    <n v="78.535714290000001"/>
    <x v="3"/>
    <n v="272"/>
    <n v="1"/>
    <n v="2500"/>
    <n v="4.4000000000000004"/>
    <n v="22"/>
    <n v="22"/>
    <n v="9"/>
    <n v="1"/>
    <n v="7"/>
    <n v="2018"/>
    <n v="14.432989689999999"/>
    <n v="12000"/>
    <n v="89.9"/>
    <n v="4.0999999999999996"/>
    <n v="29.79"/>
    <n v="35"/>
    <n v="3.7"/>
    <n v="17.238"/>
    <n v="78.535714290000001"/>
    <n v="4.4000000000000004"/>
    <n v="23.847142860000002"/>
    <n v="99.9"/>
    <n v="78.535714285714292"/>
    <n v="99.9"/>
    <n v="14.665782493368701"/>
  </r>
  <r>
    <x v="29"/>
    <x v="8"/>
    <x v="15"/>
    <n v="9"/>
    <n v="754.5"/>
    <n v="23.776666670000001"/>
    <n v="83.833333330000002"/>
    <x v="3"/>
    <n v="272"/>
    <n v="1"/>
    <n v="2500"/>
    <n v="4.4000000000000004"/>
    <n v="19"/>
    <n v="23"/>
    <n v="8"/>
    <n v="1"/>
    <n v="8"/>
    <n v="2018"/>
    <n v="9.2783505149999996"/>
    <n v="12000"/>
    <n v="103.2333333"/>
    <n v="4.0999999999999996"/>
    <n v="22.3"/>
    <n v="35"/>
    <n v="3.7"/>
    <n v="15.628125000000001"/>
    <n v="83.833333330000002"/>
    <n v="4.4000000000000004"/>
    <n v="23.776666670000001"/>
    <n v="78.535714290000001"/>
    <n v="83.833333333333329"/>
    <n v="78.535714285714292"/>
    <n v="14.664021164021165"/>
  </r>
  <r>
    <x v="30"/>
    <x v="7"/>
    <x v="3"/>
    <n v="8"/>
    <n v="1839.2"/>
    <n v="15.141249999999999"/>
    <n v="229.9"/>
    <x v="16"/>
    <n v="236"/>
    <n v="1"/>
    <n v="342"/>
    <n v="4.0999999999999996"/>
    <n v="48"/>
    <n v="23"/>
    <n v="8"/>
    <n v="1"/>
    <n v="8"/>
    <n v="2017"/>
    <n v="12.121212119999999"/>
    <n v="3510"/>
    <n v="160.66923080000001"/>
    <n v="4.2"/>
    <n v="15.185384620000001"/>
    <n v="229.9"/>
    <n v="4.0999999999999996"/>
    <n v="15.141249999999999"/>
    <n v="179.9"/>
    <n v="3.8"/>
    <n v="14.926666669999999"/>
    <n v="229.85"/>
    <n v="229.9"/>
    <s v=""/>
    <n v="14.649076517150396"/>
  </r>
  <r>
    <x v="30"/>
    <x v="7"/>
    <x v="4"/>
    <n v="10"/>
    <n v="2190.6"/>
    <n v="15.345000000000001"/>
    <n v="219.06"/>
    <x v="16"/>
    <n v="236"/>
    <n v="1"/>
    <n v="342"/>
    <n v="4.0999999999999996"/>
    <n v="54"/>
    <n v="21"/>
    <n v="9"/>
    <n v="1"/>
    <n v="9"/>
    <n v="2017"/>
    <n v="15.15151515"/>
    <n v="3510"/>
    <n v="148.7785714"/>
    <n v="4.2"/>
    <n v="14.041111109999999"/>
    <n v="219.06"/>
    <n v="4.0999999999999996"/>
    <n v="15.345000000000001"/>
    <n v="164.57"/>
    <n v="3.8"/>
    <n v="19.527999999999999"/>
    <n v="229.9"/>
    <n v="219.06"/>
    <n v="229.9"/>
    <n v="14.631578947368421"/>
  </r>
  <r>
    <x v="30"/>
    <x v="7"/>
    <x v="5"/>
    <n v="8"/>
    <n v="1729.2"/>
    <n v="19.100000000000001"/>
    <n v="216.15"/>
    <x v="16"/>
    <n v="236"/>
    <n v="1"/>
    <n v="342"/>
    <n v="4.0999999999999996"/>
    <n v="43"/>
    <n v="22"/>
    <n v="9"/>
    <n v="2"/>
    <n v="10"/>
    <n v="2017"/>
    <n v="12.121212119999999"/>
    <n v="3510"/>
    <n v="134.9"/>
    <n v="4.2"/>
    <n v="6.81"/>
    <n v="216.15"/>
    <n v="4.0999999999999996"/>
    <n v="19.100000000000001"/>
    <n v="232.49"/>
    <n v="3.8"/>
    <n v="14.2125"/>
    <n v="219.06"/>
    <n v="216.15"/>
    <n v="219.06"/>
    <n v="14.619422572178477"/>
  </r>
  <r>
    <x v="30"/>
    <x v="7"/>
    <x v="6"/>
    <n v="12"/>
    <n v="2395.1999999999998"/>
    <n v="19.795000000000002"/>
    <n v="203.29090909999999"/>
    <x v="16"/>
    <n v="236"/>
    <n v="1"/>
    <n v="342"/>
    <n v="4.0999999999999996"/>
    <n v="91"/>
    <n v="22"/>
    <n v="8"/>
    <n v="4"/>
    <n v="11"/>
    <n v="2017"/>
    <n v="18.18181818"/>
    <n v="3510"/>
    <n v="133"/>
    <n v="4.2"/>
    <n v="19.916666670000001"/>
    <n v="108"/>
    <n v="4.2"/>
    <n v="15.908461539999999"/>
    <n v="174.43333329999999"/>
    <n v="3.8"/>
    <n v="20.992777780000001"/>
    <n v="216.15"/>
    <n v="199.6"/>
    <n v="216.15"/>
    <n v="14.602094240837696"/>
  </r>
  <r>
    <x v="30"/>
    <x v="7"/>
    <x v="7"/>
    <n v="28"/>
    <n v="6287.2"/>
    <n v="17.486785709999999"/>
    <n v="224.54285709999999"/>
    <x v="16"/>
    <n v="236"/>
    <n v="1"/>
    <n v="342"/>
    <n v="4.0999999999999996"/>
    <n v="73"/>
    <n v="21"/>
    <n v="10"/>
    <n v="1"/>
    <n v="12"/>
    <n v="2017"/>
    <n v="42.424242419999999"/>
    <n v="3510"/>
    <n v="149"/>
    <n v="4.2"/>
    <n v="19.100000000000001"/>
    <n v="108"/>
    <n v="4.2"/>
    <n v="16.65384615"/>
    <n v="185.96"/>
    <n v="3.8"/>
    <n v="18.686"/>
    <n v="203.29090909999999"/>
    <n v="224.54285714285714"/>
    <n v="199.6"/>
    <n v="14.595300261096606"/>
  </r>
  <r>
    <x v="30"/>
    <x v="7"/>
    <x v="8"/>
    <n v="10"/>
    <n v="2207.6999999999998"/>
    <n v="20.495999999999999"/>
    <n v="220.77"/>
    <x v="16"/>
    <n v="236"/>
    <n v="1"/>
    <n v="342"/>
    <n v="4.0999999999999996"/>
    <n v="59"/>
    <n v="23"/>
    <n v="8"/>
    <n v="2"/>
    <n v="1"/>
    <n v="2018"/>
    <n v="12.98701299"/>
    <n v="3510"/>
    <n v="220.77"/>
    <n v="4.0999999999999996"/>
    <n v="20.495999999999999"/>
    <n v="108"/>
    <n v="4.2"/>
    <n v="16.196363640000001"/>
    <n v="199"/>
    <n v="3.8"/>
    <n v="21.88"/>
    <n v="224.54285709999999"/>
    <n v="220.76999999999998"/>
    <n v="224.54285714285714"/>
    <n v="14.630208333333334"/>
  </r>
  <r>
    <x v="30"/>
    <x v="7"/>
    <x v="9"/>
    <n v="21"/>
    <n v="4319.3999999999996"/>
    <n v="20.902380950000001"/>
    <n v="205.6857143"/>
    <x v="16"/>
    <n v="236"/>
    <n v="1"/>
    <n v="342"/>
    <n v="4.0999999999999996"/>
    <n v="90"/>
    <n v="20"/>
    <n v="8"/>
    <n v="2"/>
    <n v="2"/>
    <n v="2018"/>
    <n v="27.272727270000001"/>
    <n v="3510"/>
    <n v="128.2416667"/>
    <n v="4.2"/>
    <n v="15.926666669999999"/>
    <n v="108"/>
    <n v="4.2"/>
    <n v="18.253636360000002"/>
    <n v="182"/>
    <n v="3.8"/>
    <n v="19.329999999999998"/>
    <n v="220.77"/>
    <n v="205.68571428571425"/>
    <n v="220.76999999999998"/>
    <n v="14.618181818181819"/>
  </r>
  <r>
    <x v="30"/>
    <x v="7"/>
    <x v="10"/>
    <n v="16"/>
    <n v="3459"/>
    <n v="29.476875"/>
    <n v="216.1875"/>
    <x v="16"/>
    <n v="236"/>
    <n v="1"/>
    <n v="342"/>
    <n v="4.0999999999999996"/>
    <n v="125"/>
    <n v="22"/>
    <n v="9"/>
    <n v="1"/>
    <n v="3"/>
    <n v="2018"/>
    <n v="20.779220779999999"/>
    <n v="3510"/>
    <n v="117.44129030000001"/>
    <n v="4.2"/>
    <n v="18.261290320000001"/>
    <n v="105.6428571"/>
    <n v="4.2"/>
    <n v="21.6652381"/>
    <n v="151.87843749999999"/>
    <n v="3.8"/>
    <n v="20.313749999999999"/>
    <n v="205.6857143"/>
    <n v="216.1875"/>
    <n v="205.68571428571425"/>
    <n v="14.634715025906736"/>
  </r>
  <r>
    <x v="30"/>
    <x v="7"/>
    <x v="11"/>
    <n v="13"/>
    <n v="2657"/>
    <n v="4.0884615379999998"/>
    <n v="204.3846154"/>
    <x v="16"/>
    <n v="236"/>
    <n v="1"/>
    <n v="342"/>
    <n v="4.0999999999999996"/>
    <n v="178"/>
    <n v="21"/>
    <n v="9"/>
    <n v="1"/>
    <n v="4"/>
    <n v="2018"/>
    <n v="16.883116879999999"/>
    <n v="3510"/>
    <n v="105.648625"/>
    <n v="4.2"/>
    <n v="2.1816470589999999"/>
    <n v="105"/>
    <n v="4.2"/>
    <n v="13.631428570000001"/>
    <n v="150.1333333"/>
    <n v="3.8"/>
    <n v="19.447777779999999"/>
    <n v="216.1875"/>
    <n v="204.38461538461539"/>
    <n v="216.1875"/>
    <n v="14.638242894056848"/>
  </r>
  <r>
    <x v="30"/>
    <x v="7"/>
    <x v="12"/>
    <n v="17"/>
    <n v="3383"/>
    <n v="0"/>
    <n v="199"/>
    <x v="16"/>
    <n v="236"/>
    <n v="1"/>
    <n v="342"/>
    <n v="4.0999999999999996"/>
    <n v="260"/>
    <n v="23"/>
    <n v="8"/>
    <n v="3"/>
    <n v="5"/>
    <n v="2018"/>
    <n v="22.07792208"/>
    <n v="3510"/>
    <n v="103.79252339999999"/>
    <n v="4.2"/>
    <n v="9.5438596000000001E-2"/>
    <n v="105"/>
    <n v="4.2"/>
    <n v="11.3772973"/>
    <n v="132.53125"/>
    <n v="3.8"/>
    <n v="15.7621875"/>
    <n v="204.3846154"/>
    <n v="199"/>
    <n v="204.38461538461539"/>
    <n v="14.634020618556701"/>
  </r>
  <r>
    <x v="31"/>
    <x v="3"/>
    <x v="19"/>
    <n v="1"/>
    <n v="64.989999999999995"/>
    <n v="11.06"/>
    <n v="64.989999999999995"/>
    <x v="8"/>
    <n v="492"/>
    <n v="2"/>
    <n v="200"/>
    <n v="3.9"/>
    <n v="9"/>
    <n v="22"/>
    <n v="9"/>
    <n v="1"/>
    <n v="1"/>
    <n v="2017"/>
    <n v="5.6428571429999996"/>
    <n v="3960"/>
    <n v="64.989999999999995"/>
    <n v="3.9"/>
    <n v="11.06"/>
    <n v="64.989999999999995"/>
    <n v="3.9"/>
    <n v="11.06"/>
    <n v="64.989999999999995"/>
    <n v="3.9"/>
    <n v="11.06"/>
    <n v="64.94"/>
    <n v="64.989999999999995"/>
    <s v=""/>
    <n v="14.640102827763496"/>
  </r>
  <r>
    <x v="31"/>
    <x v="3"/>
    <x v="18"/>
    <n v="5"/>
    <n v="324.95"/>
    <n v="15.348000000000001"/>
    <n v="64.989999999999995"/>
    <x v="8"/>
    <n v="492"/>
    <n v="2"/>
    <n v="200"/>
    <n v="3.9"/>
    <n v="19"/>
    <n v="20"/>
    <n v="8"/>
    <n v="2"/>
    <n v="2"/>
    <n v="2017"/>
    <n v="13.92857143"/>
    <n v="3960"/>
    <n v="19.989999999999998"/>
    <n v="4.3"/>
    <n v="11.75090909"/>
    <n v="64.989999999999995"/>
    <n v="3.9"/>
    <n v="15.348000000000001"/>
    <n v="64.989999999999995"/>
    <n v="3.9"/>
    <n v="15.348000000000001"/>
    <n v="64.989999999999995"/>
    <n v="64.989999999999995"/>
    <n v="64.989999999999995"/>
    <n v="14.605128205128205"/>
  </r>
  <r>
    <x v="31"/>
    <x v="3"/>
    <x v="16"/>
    <n v="9"/>
    <n v="584.91"/>
    <n v="17.262222220000002"/>
    <n v="64.989999999999995"/>
    <x v="8"/>
    <n v="492"/>
    <n v="2"/>
    <n v="200"/>
    <n v="3.9"/>
    <n v="25"/>
    <n v="23"/>
    <n v="8"/>
    <n v="1"/>
    <n v="3"/>
    <n v="2017"/>
    <n v="11.5"/>
    <n v="3960"/>
    <n v="19.989999999999998"/>
    <n v="4.3"/>
    <n v="13.81888889"/>
    <n v="89.99"/>
    <n v="4.0999999999999996"/>
    <n v="13.02"/>
    <n v="64.989999999999995"/>
    <n v="3.9"/>
    <n v="17.262222220000002"/>
    <n v="64.989999999999995"/>
    <n v="64.989999999999995"/>
    <n v="64.989999999999995"/>
    <n v="14.580562659846548"/>
  </r>
  <r>
    <x v="31"/>
    <x v="3"/>
    <x v="17"/>
    <n v="9"/>
    <n v="584.91"/>
    <n v="15.16888889"/>
    <n v="64.989999999999995"/>
    <x v="8"/>
    <n v="492"/>
    <n v="2"/>
    <n v="200"/>
    <n v="3.9"/>
    <n v="23"/>
    <n v="20"/>
    <n v="10"/>
    <n v="2"/>
    <n v="4"/>
    <n v="2017"/>
    <n v="12.39285714"/>
    <n v="3960"/>
    <n v="19.989999999999998"/>
    <n v="4.3"/>
    <n v="18.03846154"/>
    <n v="64.989999999999995"/>
    <n v="3.9"/>
    <n v="15.16888889"/>
    <n v="64.989999999999995"/>
    <n v="3.9"/>
    <n v="15.16888889"/>
    <n v="64.989999999999995"/>
    <n v="64.989999999999995"/>
    <n v="64.989999999999995"/>
    <n v="14.566326530612244"/>
  </r>
  <r>
    <x v="31"/>
    <x v="3"/>
    <x v="0"/>
    <n v="16"/>
    <n v="1039.8399999999999"/>
    <n v="14.811875000000001"/>
    <n v="64.989999999999995"/>
    <x v="8"/>
    <n v="492"/>
    <n v="2"/>
    <n v="200"/>
    <n v="3.9"/>
    <n v="41"/>
    <n v="23"/>
    <n v="8"/>
    <n v="1"/>
    <n v="5"/>
    <n v="2017"/>
    <n v="8.1428571430000005"/>
    <n v="3960"/>
    <n v="19.989999999999998"/>
    <n v="4.3"/>
    <n v="14.8475"/>
    <n v="89.99"/>
    <n v="4.0999999999999996"/>
    <n v="16.098333329999999"/>
    <n v="64.989999999999995"/>
    <n v="3.9"/>
    <n v="14.811875000000001"/>
    <n v="64.989999999999995"/>
    <n v="64.989999999999995"/>
    <n v="64.989999999999995"/>
    <n v="14.552162849872774"/>
  </r>
  <r>
    <x v="31"/>
    <x v="3"/>
    <x v="1"/>
    <n v="21"/>
    <n v="1234.79"/>
    <n v="13.903333330000001"/>
    <n v="58.799523809999997"/>
    <x v="8"/>
    <n v="492"/>
    <n v="2"/>
    <n v="200"/>
    <n v="3.9"/>
    <n v="53"/>
    <n v="22"/>
    <n v="8"/>
    <n v="1"/>
    <n v="6"/>
    <n v="2017"/>
    <n v="11.35714286"/>
    <n v="3960"/>
    <n v="19.989999999999998"/>
    <n v="4.3"/>
    <n v="12.68333333"/>
    <n v="89.99"/>
    <n v="4.0999999999999996"/>
    <n v="14.16333333"/>
    <n v="58.799523809999997"/>
    <n v="3.9"/>
    <n v="13.903333330000001"/>
    <n v="64.989999999999995"/>
    <n v="58.799523809523805"/>
    <n v="64.989999999999995"/>
    <n v="14.555837563451776"/>
  </r>
  <r>
    <x v="31"/>
    <x v="3"/>
    <x v="2"/>
    <n v="15"/>
    <n v="888.85"/>
    <n v="17.998000000000001"/>
    <n v="59.256666670000001"/>
    <x v="8"/>
    <n v="492"/>
    <n v="2"/>
    <n v="200"/>
    <n v="3.9"/>
    <n v="61"/>
    <n v="21"/>
    <n v="10"/>
    <n v="1"/>
    <n v="7"/>
    <n v="2017"/>
    <n v="6.0714285710000002"/>
    <n v="3960"/>
    <n v="19.989999999999998"/>
    <n v="4.3"/>
    <n v="11.135172409999999"/>
    <n v="89.99"/>
    <n v="4.0999999999999996"/>
    <n v="12.11882353"/>
    <n v="59.256666670000001"/>
    <n v="3.9"/>
    <n v="17.998000000000001"/>
    <n v="58.799523809999997"/>
    <n v="59.256666666666668"/>
    <n v="58.799523809523805"/>
    <n v="14.572151898734177"/>
  </r>
  <r>
    <x v="31"/>
    <x v="3"/>
    <x v="3"/>
    <n v="22"/>
    <n v="1297.78"/>
    <n v="16.240909089999999"/>
    <n v="58.99"/>
    <x v="8"/>
    <n v="492"/>
    <n v="2"/>
    <n v="200"/>
    <n v="3.9"/>
    <n v="82"/>
    <n v="23"/>
    <n v="8"/>
    <n v="1"/>
    <n v="8"/>
    <n v="2017"/>
    <n v="8.9642857140000007"/>
    <n v="3960"/>
    <n v="23.39740741"/>
    <n v="4.3"/>
    <n v="14.27678571"/>
    <n v="89.99"/>
    <n v="4.0999999999999996"/>
    <n v="13.410555560000001"/>
    <n v="58.99"/>
    <n v="3.9"/>
    <n v="16.240909089999999"/>
    <n v="59.256666670000001"/>
    <n v="58.99"/>
    <n v="59.256666666666668"/>
    <n v="14.573232323232324"/>
  </r>
  <r>
    <x v="31"/>
    <x v="3"/>
    <x v="4"/>
    <n v="25"/>
    <n v="1474.75"/>
    <n v="15.639200000000001"/>
    <n v="58.99"/>
    <x v="8"/>
    <n v="492"/>
    <n v="2"/>
    <n v="200"/>
    <n v="3.9"/>
    <n v="89"/>
    <n v="21"/>
    <n v="9"/>
    <n v="1"/>
    <n v="9"/>
    <n v="2017"/>
    <n v="14.28571429"/>
    <n v="3960"/>
    <n v="23.99"/>
    <n v="4.3"/>
    <n v="16.12"/>
    <n v="89.99"/>
    <n v="4.0999999999999996"/>
    <n v="13.96428571"/>
    <n v="58.99"/>
    <n v="3.9"/>
    <n v="15.639200000000001"/>
    <n v="58.99"/>
    <n v="58.99"/>
    <n v="58.99"/>
    <n v="14.591939546599496"/>
  </r>
  <r>
    <x v="31"/>
    <x v="3"/>
    <x v="5"/>
    <n v="19"/>
    <n v="1120.81"/>
    <n v="19.065263160000001"/>
    <n v="58.99"/>
    <x v="8"/>
    <n v="492"/>
    <n v="2"/>
    <n v="200"/>
    <n v="3.9"/>
    <n v="81"/>
    <n v="22"/>
    <n v="9"/>
    <n v="2"/>
    <n v="10"/>
    <n v="2017"/>
    <n v="10.85714286"/>
    <n v="3960"/>
    <n v="23.99"/>
    <n v="4.3"/>
    <n v="13.13666667"/>
    <n v="89.99"/>
    <n v="4.0999999999999996"/>
    <n v="16.56291667"/>
    <n v="58.99"/>
    <n v="3.9"/>
    <n v="19.065263160000001"/>
    <n v="58.99"/>
    <n v="58.989999999999995"/>
    <n v="58.99"/>
    <n v="14.618090452261306"/>
  </r>
  <r>
    <x v="31"/>
    <x v="3"/>
    <x v="6"/>
    <n v="24"/>
    <n v="1415.76"/>
    <n v="15.71166667"/>
    <n v="58.99"/>
    <x v="8"/>
    <n v="492"/>
    <n v="2"/>
    <n v="200"/>
    <n v="3.9"/>
    <n v="139"/>
    <n v="22"/>
    <n v="8"/>
    <n v="4"/>
    <n v="11"/>
    <n v="2017"/>
    <n v="13.71428571"/>
    <n v="3960"/>
    <n v="23.99"/>
    <n v="4.3"/>
    <n v="12.37535714"/>
    <n v="89.99"/>
    <n v="4.0999999999999996"/>
    <n v="16.99038462"/>
    <n v="58.99"/>
    <n v="3.9"/>
    <n v="15.71166667"/>
    <n v="58.99"/>
    <n v="58.99"/>
    <n v="58.989999999999995"/>
    <n v="14.62907268170426"/>
  </r>
  <r>
    <x v="31"/>
    <x v="3"/>
    <x v="7"/>
    <n v="9"/>
    <n v="530.91"/>
    <n v="16.332222219999998"/>
    <n v="58.99"/>
    <x v="8"/>
    <n v="492"/>
    <n v="2"/>
    <n v="200"/>
    <n v="3.9"/>
    <n v="112"/>
    <n v="21"/>
    <n v="10"/>
    <n v="1"/>
    <n v="12"/>
    <n v="2017"/>
    <n v="5.1428571429999996"/>
    <n v="3960"/>
    <n v="23.99"/>
    <n v="4.3"/>
    <n v="12.45684211"/>
    <n v="89.99"/>
    <n v="4.0999999999999996"/>
    <n v="15.89473684"/>
    <n v="58.99"/>
    <n v="3.9"/>
    <n v="16.332222219999998"/>
    <n v="58.99"/>
    <n v="58.989999999999995"/>
    <n v="58.99"/>
    <n v="14.6525"/>
  </r>
  <r>
    <x v="31"/>
    <x v="3"/>
    <x v="8"/>
    <n v="6"/>
    <n v="353.94"/>
    <n v="22.678333330000001"/>
    <n v="58.99"/>
    <x v="8"/>
    <n v="492"/>
    <n v="2"/>
    <n v="200"/>
    <n v="3.9"/>
    <n v="98"/>
    <n v="23"/>
    <n v="8"/>
    <n v="2"/>
    <n v="1"/>
    <n v="2018"/>
    <n v="5.6428571429999996"/>
    <n v="3960"/>
    <n v="23.99"/>
    <n v="4.3"/>
    <n v="11.28736842"/>
    <n v="89.99"/>
    <n v="4.0999999999999996"/>
    <n v="14.811"/>
    <n v="58.99"/>
    <n v="3.9"/>
    <n v="22.678333330000001"/>
    <n v="58.99"/>
    <n v="58.99"/>
    <n v="58.989999999999995"/>
    <n v="14.638403990024937"/>
  </r>
  <r>
    <x v="31"/>
    <x v="3"/>
    <x v="9"/>
    <n v="14"/>
    <n v="825.86"/>
    <n v="19.574999999999999"/>
    <n v="58.99"/>
    <x v="8"/>
    <n v="492"/>
    <n v="2"/>
    <n v="200"/>
    <n v="3.9"/>
    <n v="126"/>
    <n v="20"/>
    <n v="8"/>
    <n v="2"/>
    <n v="2"/>
    <n v="2018"/>
    <n v="13.92857143"/>
    <n v="3960"/>
    <n v="23.99"/>
    <n v="4.3"/>
    <n v="12.55"/>
    <n v="89.99"/>
    <n v="4.0999999999999996"/>
    <n v="16.307647060000001"/>
    <n v="58.99"/>
    <n v="3.9"/>
    <n v="19.574999999999999"/>
    <n v="58.99"/>
    <n v="58.99"/>
    <n v="58.99"/>
    <n v="14.616915422885572"/>
  </r>
  <r>
    <x v="31"/>
    <x v="3"/>
    <x v="10"/>
    <n v="10"/>
    <n v="589.9"/>
    <n v="15.228"/>
    <n v="58.99"/>
    <x v="8"/>
    <n v="492"/>
    <n v="2"/>
    <n v="200"/>
    <n v="3.9"/>
    <n v="169"/>
    <n v="22"/>
    <n v="9"/>
    <n v="1"/>
    <n v="3"/>
    <n v="2018"/>
    <n v="11.5"/>
    <n v="3960"/>
    <n v="23.99"/>
    <n v="4.3"/>
    <n v="14.19875"/>
    <n v="83.74"/>
    <n v="4.0999999999999996"/>
    <n v="11.876875"/>
    <n v="58.99"/>
    <n v="3.9"/>
    <n v="15.228"/>
    <n v="58.99"/>
    <n v="58.989999999999995"/>
    <n v="58.99"/>
    <n v="14.615384615384615"/>
  </r>
  <r>
    <x v="31"/>
    <x v="3"/>
    <x v="11"/>
    <n v="11"/>
    <n v="648.89"/>
    <n v="16.302727269999998"/>
    <n v="58.99"/>
    <x v="8"/>
    <n v="492"/>
    <n v="2"/>
    <n v="200"/>
    <n v="3.9"/>
    <n v="118"/>
    <n v="21"/>
    <n v="9"/>
    <n v="1"/>
    <n v="4"/>
    <n v="2018"/>
    <n v="12.39285714"/>
    <n v="3960"/>
    <n v="58.99"/>
    <n v="3.9"/>
    <n v="16.302727269999998"/>
    <n v="79.989999999999995"/>
    <n v="4.0999999999999996"/>
    <n v="14.484999999999999"/>
    <n v="58.99"/>
    <n v="3.9"/>
    <n v="16.302727269999998"/>
    <n v="58.99"/>
    <n v="58.99"/>
    <n v="58.989999999999995"/>
    <n v="14.603960396039604"/>
  </r>
  <r>
    <x v="31"/>
    <x v="3"/>
    <x v="12"/>
    <n v="4"/>
    <n v="235.96"/>
    <n v="9.4224999999999994"/>
    <n v="58.99"/>
    <x v="8"/>
    <n v="492"/>
    <n v="2"/>
    <n v="200"/>
    <n v="3.9"/>
    <n v="159"/>
    <n v="23"/>
    <n v="8"/>
    <n v="3"/>
    <n v="5"/>
    <n v="2018"/>
    <n v="8.1428571430000005"/>
    <n v="3960"/>
    <n v="23.99"/>
    <n v="4.3"/>
    <n v="7.9885714290000003"/>
    <n v="79.989999999999995"/>
    <n v="4.0999999999999996"/>
    <n v="21.943124999999998"/>
    <n v="58.99"/>
    <n v="3.9"/>
    <n v="9.4224999999999994"/>
    <n v="58.99"/>
    <n v="58.99"/>
    <n v="58.99"/>
    <n v="14.595061728395061"/>
  </r>
  <r>
    <x v="31"/>
    <x v="3"/>
    <x v="13"/>
    <n v="6"/>
    <n v="353.94"/>
    <n v="16.43"/>
    <n v="58.99"/>
    <x v="8"/>
    <n v="492"/>
    <n v="2"/>
    <n v="200"/>
    <n v="3.9"/>
    <n v="131"/>
    <n v="21"/>
    <n v="9"/>
    <n v="0"/>
    <n v="6"/>
    <n v="2018"/>
    <n v="11.35714286"/>
    <n v="3960"/>
    <n v="23.99"/>
    <n v="4.3"/>
    <n v="16.27"/>
    <n v="79.989999999999995"/>
    <n v="4.0999999999999996"/>
    <n v="13.36230769"/>
    <n v="58.99"/>
    <n v="3.9"/>
    <n v="16.43"/>
    <n v="58.99"/>
    <n v="58.99"/>
    <n v="58.99"/>
    <n v="14.568965517241379"/>
  </r>
  <r>
    <x v="31"/>
    <x v="3"/>
    <x v="14"/>
    <n v="2"/>
    <n v="117.98"/>
    <n v="7.67"/>
    <n v="58.99"/>
    <x v="8"/>
    <n v="492"/>
    <n v="2"/>
    <n v="200"/>
    <n v="3.9"/>
    <n v="113"/>
    <n v="22"/>
    <n v="9"/>
    <n v="1"/>
    <n v="7"/>
    <n v="2018"/>
    <n v="6.0714285710000002"/>
    <n v="3960"/>
    <n v="23.99"/>
    <n v="4.3"/>
    <n v="18.809999999999999"/>
    <n v="79.989999999999995"/>
    <n v="4.0999999999999996"/>
    <n v="16.745000000000001"/>
    <n v="58.99"/>
    <n v="3.9"/>
    <n v="7.67"/>
    <n v="58.99"/>
    <n v="58.99"/>
    <n v="58.99"/>
    <n v="14.547911547911548"/>
  </r>
  <r>
    <x v="31"/>
    <x v="3"/>
    <x v="15"/>
    <n v="3"/>
    <n v="176.97"/>
    <n v="12.08333333"/>
    <n v="58.99"/>
    <x v="8"/>
    <n v="492"/>
    <n v="2"/>
    <n v="200"/>
    <n v="3.9"/>
    <n v="127"/>
    <n v="23"/>
    <n v="8"/>
    <n v="1"/>
    <n v="8"/>
    <n v="2018"/>
    <n v="8.9642857140000007"/>
    <n v="3960"/>
    <n v="23.99"/>
    <n v="4.3"/>
    <n v="16.77"/>
    <n v="82.821428569999995"/>
    <n v="4.0999999999999996"/>
    <n v="12.41857143"/>
    <n v="58.99"/>
    <n v="3.9"/>
    <n v="12.08333333"/>
    <n v="58.99"/>
    <n v="58.99"/>
    <n v="58.99"/>
    <n v="14.517156862745098"/>
  </r>
  <r>
    <x v="32"/>
    <x v="0"/>
    <x v="5"/>
    <n v="8"/>
    <n v="792"/>
    <n v="16.353750000000002"/>
    <n v="99"/>
    <x v="17"/>
    <n v="312"/>
    <n v="1"/>
    <n v="1550"/>
    <n v="3.3"/>
    <n v="50"/>
    <n v="22"/>
    <n v="9"/>
    <n v="2"/>
    <n v="10"/>
    <n v="2017"/>
    <n v="21.621621619999999"/>
    <n v="20944"/>
    <n v="89.9"/>
    <n v="3.9"/>
    <n v="21.57214286"/>
    <n v="99"/>
    <n v="3.3"/>
    <n v="16.353750000000002"/>
    <n v="45.95"/>
    <n v="4"/>
    <n v="15.1"/>
    <n v="98.95"/>
    <n v="99"/>
    <s v=""/>
    <n v="14.488997555012224"/>
  </r>
  <r>
    <x v="32"/>
    <x v="0"/>
    <x v="6"/>
    <n v="22"/>
    <n v="2178"/>
    <n v="18.796363639999999"/>
    <n v="99"/>
    <x v="17"/>
    <n v="312"/>
    <n v="1"/>
    <n v="1550"/>
    <n v="3.3"/>
    <n v="97"/>
    <n v="22"/>
    <n v="8"/>
    <n v="4"/>
    <n v="11"/>
    <n v="2017"/>
    <n v="59.459459459999998"/>
    <n v="20944"/>
    <n v="89.9"/>
    <n v="3.9"/>
    <n v="16.294"/>
    <n v="99"/>
    <n v="3.3"/>
    <n v="18.796363639999999"/>
    <n v="40.531818180000002"/>
    <n v="4"/>
    <n v="15.832727269999999"/>
    <n v="99"/>
    <n v="99"/>
    <n v="99"/>
    <n v="14.473170731707317"/>
  </r>
  <r>
    <x v="32"/>
    <x v="0"/>
    <x v="7"/>
    <n v="7"/>
    <n v="693"/>
    <n v="18.66285714"/>
    <n v="99"/>
    <x v="17"/>
    <n v="312"/>
    <n v="1"/>
    <n v="1550"/>
    <n v="3.3"/>
    <n v="41"/>
    <n v="21"/>
    <n v="10"/>
    <n v="1"/>
    <n v="12"/>
    <n v="2017"/>
    <n v="18.918918919999999"/>
    <n v="20944"/>
    <n v="88.488235290000006"/>
    <n v="3.9"/>
    <n v="18.89833333"/>
    <n v="99"/>
    <n v="3.3"/>
    <n v="18.66285714"/>
    <n v="39.99"/>
    <n v="4"/>
    <n v="15.23"/>
    <n v="99"/>
    <n v="99"/>
    <n v="99"/>
    <n v="14.491484184914842"/>
  </r>
  <r>
    <x v="32"/>
    <x v="0"/>
    <x v="8"/>
    <n v="11"/>
    <n v="1082"/>
    <n v="16.397272730000001"/>
    <n v="98.3"/>
    <x v="17"/>
    <n v="312"/>
    <n v="1"/>
    <n v="1550"/>
    <n v="3.3"/>
    <n v="62"/>
    <n v="23"/>
    <n v="8"/>
    <n v="2"/>
    <n v="1"/>
    <n v="2018"/>
    <n v="14.864864860000001"/>
    <n v="20944"/>
    <n v="86.9"/>
    <n v="3.9"/>
    <n v="19.383529410000001"/>
    <n v="98.3"/>
    <n v="3.3"/>
    <n v="16.397272730000001"/>
    <n v="39.99"/>
    <n v="4"/>
    <n v="16.533684210000001"/>
    <n v="99"/>
    <n v="98.36363636363636"/>
    <n v="99"/>
    <n v="14.473300970873787"/>
  </r>
  <r>
    <x v="32"/>
    <x v="0"/>
    <x v="9"/>
    <n v="13"/>
    <n v="1196"/>
    <n v="16.194615379999998"/>
    <n v="92"/>
    <x v="17"/>
    <n v="312"/>
    <n v="1"/>
    <n v="1550"/>
    <n v="3.3"/>
    <n v="62"/>
    <n v="20"/>
    <n v="8"/>
    <n v="2"/>
    <n v="2"/>
    <n v="2018"/>
    <n v="17.567567570000001"/>
    <n v="20944"/>
    <n v="86.9"/>
    <n v="3.9"/>
    <n v="19.20909091"/>
    <n v="92"/>
    <n v="3.3"/>
    <n v="16.194615379999998"/>
    <n v="39.99"/>
    <n v="4"/>
    <n v="13.74944444"/>
    <n v="98.3"/>
    <n v="92"/>
    <n v="98.36363636363636"/>
    <n v="14.464891041162227"/>
  </r>
  <r>
    <x v="32"/>
    <x v="0"/>
    <x v="10"/>
    <n v="3"/>
    <n v="276"/>
    <n v="14.043333329999999"/>
    <n v="92"/>
    <x v="17"/>
    <n v="312"/>
    <n v="1"/>
    <n v="1550"/>
    <n v="3.3"/>
    <n v="43"/>
    <n v="22"/>
    <n v="9"/>
    <n v="1"/>
    <n v="3"/>
    <n v="2018"/>
    <n v="4.0540540539999999"/>
    <n v="20944"/>
    <n v="86.9"/>
    <n v="3.9"/>
    <n v="19.982352939999998"/>
    <n v="92"/>
    <n v="3.3"/>
    <n v="14.043333329999999"/>
    <n v="39.99"/>
    <n v="4"/>
    <n v="16.462352939999999"/>
    <n v="92"/>
    <n v="92"/>
    <n v="92"/>
    <n v="14.461352657004831"/>
  </r>
  <r>
    <x v="32"/>
    <x v="0"/>
    <x v="11"/>
    <n v="9"/>
    <n v="815"/>
    <n v="17.82222222"/>
    <n v="90.875"/>
    <x v="17"/>
    <n v="312"/>
    <n v="1"/>
    <n v="1550"/>
    <n v="3.3"/>
    <n v="34"/>
    <n v="21"/>
    <n v="9"/>
    <n v="1"/>
    <n v="4"/>
    <n v="2018"/>
    <n v="12.162162159999999"/>
    <n v="20944"/>
    <n v="85.045000000000002"/>
    <n v="3.9"/>
    <n v="12.94"/>
    <n v="90.875"/>
    <n v="3.3"/>
    <n v="17.82222222"/>
    <n v="39.99"/>
    <n v="4"/>
    <n v="14.236153850000001"/>
    <n v="92"/>
    <n v="90.555555555555557"/>
    <n v="92"/>
    <n v="14.433734939759036"/>
  </r>
  <r>
    <x v="32"/>
    <x v="0"/>
    <x v="12"/>
    <n v="14"/>
    <n v="1235.3599999999999"/>
    <n v="9.2128571430000008"/>
    <n v="88.24"/>
    <x v="17"/>
    <n v="312"/>
    <n v="1"/>
    <n v="1550"/>
    <n v="3.3"/>
    <n v="57"/>
    <n v="23"/>
    <n v="8"/>
    <n v="3"/>
    <n v="5"/>
    <n v="2018"/>
    <n v="18.918918919999999"/>
    <n v="20944"/>
    <n v="83.64961538"/>
    <n v="3.9"/>
    <n v="16.78038462"/>
    <n v="88.24"/>
    <n v="3.3"/>
    <n v="9.2128571430000008"/>
    <n v="39.99"/>
    <n v="4"/>
    <n v="10.25631579"/>
    <n v="90.875"/>
    <n v="88.24"/>
    <n v="90.555555555555557"/>
    <n v="14.420673076923077"/>
  </r>
  <r>
    <x v="32"/>
    <x v="0"/>
    <x v="13"/>
    <n v="14"/>
    <n v="1188.5999999999999"/>
    <n v="17.975000000000001"/>
    <n v="84.9"/>
    <x v="17"/>
    <n v="312"/>
    <n v="1"/>
    <n v="1550"/>
    <n v="3.3"/>
    <n v="43"/>
    <n v="21"/>
    <n v="9"/>
    <n v="0"/>
    <n v="6"/>
    <n v="2018"/>
    <n v="18.918918919999999"/>
    <n v="20944"/>
    <n v="79.900000000000006"/>
    <n v="3.9"/>
    <n v="23.005652170000001"/>
    <n v="84.9"/>
    <n v="3.3"/>
    <n v="17.975000000000001"/>
    <n v="39.99"/>
    <n v="4"/>
    <n v="13.997999999999999"/>
    <n v="88.24"/>
    <n v="84.899999999999991"/>
    <n v="88.24"/>
    <n v="14.419664268585132"/>
  </r>
  <r>
    <x v="32"/>
    <x v="0"/>
    <x v="14"/>
    <n v="9"/>
    <n v="764.1"/>
    <n v="22.447777779999999"/>
    <n v="84.9"/>
    <x v="17"/>
    <n v="312"/>
    <n v="1"/>
    <n v="1550"/>
    <n v="3.3"/>
    <n v="26"/>
    <n v="22"/>
    <n v="9"/>
    <n v="1"/>
    <n v="7"/>
    <n v="2018"/>
    <n v="12.162162159999999"/>
    <n v="20944"/>
    <n v="77.933333329999996"/>
    <n v="3.9"/>
    <n v="19.952000000000002"/>
    <n v="84.9"/>
    <n v="3.3"/>
    <n v="22.447777779999999"/>
    <n v="39.99"/>
    <n v="4"/>
    <n v="20.4175"/>
    <n v="84.9"/>
    <n v="84.9"/>
    <n v="84.899999999999991"/>
    <n v="14.418660287081339"/>
  </r>
  <r>
    <x v="32"/>
    <x v="0"/>
    <x v="15"/>
    <n v="1"/>
    <n v="84.9"/>
    <n v="4.41"/>
    <n v="84.9"/>
    <x v="17"/>
    <n v="312"/>
    <n v="1"/>
    <n v="1550"/>
    <n v="3.3"/>
    <n v="15"/>
    <n v="23"/>
    <n v="8"/>
    <n v="1"/>
    <n v="8"/>
    <n v="2018"/>
    <n v="1.3513513509999999"/>
    <n v="20944"/>
    <n v="74"/>
    <n v="3.9"/>
    <n v="17.25571429"/>
    <n v="84.9"/>
    <n v="3.3"/>
    <n v="4.41"/>
    <n v="39.24"/>
    <n v="4"/>
    <n v="16.333749999999998"/>
    <n v="84.9"/>
    <n v="84.9"/>
    <n v="84.9"/>
    <n v="14.405727923627685"/>
  </r>
  <r>
    <x v="33"/>
    <x v="1"/>
    <x v="18"/>
    <n v="1"/>
    <n v="99.99"/>
    <n v="33"/>
    <n v="99.99"/>
    <x v="18"/>
    <n v="1893"/>
    <n v="1"/>
    <n v="6050"/>
    <n v="4.0999999999999996"/>
    <n v="3"/>
    <n v="20"/>
    <n v="8"/>
    <n v="2"/>
    <n v="2"/>
    <n v="2017"/>
    <n v="11.586850650000001"/>
    <n v="8000"/>
    <n v="99.99"/>
    <n v="4.0999999999999996"/>
    <n v="33"/>
    <n v="99.99"/>
    <n v="4.0999999999999996"/>
    <n v="33"/>
    <n v="99.99"/>
    <n v="4.0999999999999996"/>
    <n v="33"/>
    <n v="99.94"/>
    <n v="99.99"/>
    <s v=""/>
    <n v="14.373809523809523"/>
  </r>
  <r>
    <x v="33"/>
    <x v="1"/>
    <x v="16"/>
    <n v="11"/>
    <n v="1099.8900000000001"/>
    <n v="30.539090909999999"/>
    <n v="99.99"/>
    <x v="18"/>
    <n v="1893"/>
    <n v="1"/>
    <n v="6050"/>
    <n v="4.0999999999999996"/>
    <n v="21"/>
    <n v="23"/>
    <n v="8"/>
    <n v="1"/>
    <n v="3"/>
    <n v="2017"/>
    <n v="11.83035714"/>
    <n v="8000"/>
    <n v="99.99"/>
    <n v="4.0999999999999996"/>
    <n v="30.539090909999999"/>
    <n v="99.99"/>
    <n v="4.0999999999999996"/>
    <n v="30.539090909999999"/>
    <n v="99.99"/>
    <n v="4.0999999999999996"/>
    <n v="30.539090909999999"/>
    <n v="99.99"/>
    <n v="99.990000000000009"/>
    <n v="99.99"/>
    <n v="14.342042755344417"/>
  </r>
  <r>
    <x v="33"/>
    <x v="1"/>
    <x v="17"/>
    <n v="8"/>
    <n v="759.92"/>
    <n v="33.71"/>
    <n v="96.656666670000007"/>
    <x v="18"/>
    <n v="1893"/>
    <n v="1"/>
    <n v="6050"/>
    <n v="4.0999999999999996"/>
    <n v="17"/>
    <n v="20"/>
    <n v="10"/>
    <n v="2"/>
    <n v="4"/>
    <n v="2017"/>
    <n v="10.66355519"/>
    <n v="8000"/>
    <n v="96.656666670000007"/>
    <n v="4.0999999999999996"/>
    <n v="33.71"/>
    <n v="96.656666670000007"/>
    <n v="4.0999999999999996"/>
    <n v="33.71"/>
    <n v="96.656666670000007"/>
    <n v="4.0999999999999996"/>
    <n v="33.71"/>
    <n v="99.99"/>
    <n v="94.99"/>
    <n v="99.990000000000009"/>
    <n v="14.334123222748815"/>
  </r>
  <r>
    <x v="33"/>
    <x v="1"/>
    <x v="0"/>
    <n v="2"/>
    <n v="219.98"/>
    <n v="34.130000000000003"/>
    <n v="109.99"/>
    <x v="18"/>
    <n v="1893"/>
    <n v="1"/>
    <n v="6050"/>
    <n v="4.0999999999999996"/>
    <n v="34"/>
    <n v="23"/>
    <n v="8"/>
    <n v="1"/>
    <n v="5"/>
    <n v="2017"/>
    <n v="7.5487012990000002"/>
    <n v="8000"/>
    <n v="59.9"/>
    <n v="4.0999999999999996"/>
    <n v="19.732500000000002"/>
    <n v="59.9"/>
    <n v="4.2"/>
    <n v="26.24666667"/>
    <n v="109.99"/>
    <n v="4.0999999999999996"/>
    <n v="34.130000000000003"/>
    <n v="96.656666670000007"/>
    <n v="109.99"/>
    <n v="94.99"/>
    <n v="14.319148936170214"/>
  </r>
  <r>
    <x v="33"/>
    <x v="1"/>
    <x v="1"/>
    <n v="2"/>
    <n v="239.98"/>
    <n v="34.200000000000003"/>
    <n v="119.99"/>
    <x v="18"/>
    <n v="1893"/>
    <n v="1"/>
    <n v="6050"/>
    <n v="4.0999999999999996"/>
    <n v="26"/>
    <n v="22"/>
    <n v="8"/>
    <n v="1"/>
    <n v="6"/>
    <n v="2017"/>
    <n v="9.1112012989999993"/>
    <n v="8000"/>
    <n v="59.9"/>
    <n v="4.0999999999999996"/>
    <n v="17.670000000000002"/>
    <n v="59.9"/>
    <n v="4.2"/>
    <n v="16.260000000000002"/>
    <n v="119.99"/>
    <n v="4.0999999999999996"/>
    <n v="34.200000000000003"/>
    <n v="109.99"/>
    <n v="119.99"/>
    <n v="109.99"/>
    <n v="14.290094339622641"/>
  </r>
  <r>
    <x v="33"/>
    <x v="1"/>
    <x v="2"/>
    <n v="2"/>
    <n v="240"/>
    <n v="36.28"/>
    <n v="120"/>
    <x v="18"/>
    <n v="1893"/>
    <n v="1"/>
    <n v="6050"/>
    <n v="4.0999999999999996"/>
    <n v="74"/>
    <n v="21"/>
    <n v="10"/>
    <n v="1"/>
    <n v="7"/>
    <n v="2017"/>
    <n v="5.2049512990000002"/>
    <n v="8000"/>
    <n v="59.9"/>
    <n v="4.0999999999999996"/>
    <n v="16.626428570000002"/>
    <n v="59.9"/>
    <n v="4.2"/>
    <n v="16.111578949999998"/>
    <n v="59.9"/>
    <n v="4.0999999999999996"/>
    <n v="15.392307690000001"/>
    <n v="119.99"/>
    <n v="120"/>
    <n v="119.99"/>
    <n v="14.261176470588236"/>
  </r>
  <r>
    <x v="33"/>
    <x v="1"/>
    <x v="4"/>
    <n v="4"/>
    <n v="417"/>
    <n v="33.090000000000003"/>
    <n v="104.25"/>
    <x v="18"/>
    <n v="1893"/>
    <n v="1"/>
    <n v="6050"/>
    <n v="4.0999999999999996"/>
    <n v="115"/>
    <n v="21"/>
    <n v="9"/>
    <n v="1"/>
    <n v="9"/>
    <n v="2017"/>
    <n v="5.1948051949999998"/>
    <n v="8000"/>
    <n v="59.9"/>
    <n v="4.0999999999999996"/>
    <n v="17.187027029999999"/>
    <n v="59.9"/>
    <n v="4.2"/>
    <n v="16.811764709999999"/>
    <n v="59.9"/>
    <n v="4.0999999999999996"/>
    <n v="16.29461538"/>
    <n v="104.2"/>
    <n v="104.25"/>
    <n v="120"/>
    <n v="14.232394366197184"/>
  </r>
  <r>
    <x v="33"/>
    <x v="1"/>
    <x v="5"/>
    <n v="12"/>
    <n v="1105.92"/>
    <n v="30.834166669999998"/>
    <n v="92.593999999999994"/>
    <x v="18"/>
    <n v="1893"/>
    <n v="1"/>
    <n v="6050"/>
    <n v="4.0999999999999996"/>
    <n v="146"/>
    <n v="22"/>
    <n v="9"/>
    <n v="2"/>
    <n v="10"/>
    <n v="2017"/>
    <n v="15.58441558"/>
    <n v="8000"/>
    <n v="59.9"/>
    <n v="4.0999999999999996"/>
    <n v="18.065897440000001"/>
    <n v="59.9"/>
    <n v="4.2"/>
    <n v="17.595483869999999"/>
    <n v="59.9"/>
    <n v="4.0999999999999996"/>
    <n v="16.814166669999999"/>
    <n v="104.25"/>
    <n v="92.160000000000011"/>
    <n v="104.25"/>
    <n v="14.208430913348947"/>
  </r>
  <r>
    <x v="33"/>
    <x v="1"/>
    <x v="6"/>
    <n v="21"/>
    <n v="1889.79"/>
    <n v="47.525714290000003"/>
    <n v="89.99"/>
    <x v="18"/>
    <n v="1893"/>
    <n v="1"/>
    <n v="6050"/>
    <n v="4.0999999999999996"/>
    <n v="339"/>
    <n v="22"/>
    <n v="8"/>
    <n v="4"/>
    <n v="11"/>
    <n v="2017"/>
    <n v="27.272727270000001"/>
    <n v="8000"/>
    <n v="52.406944439999997"/>
    <n v="4.0999999999999996"/>
    <n v="17.06747253"/>
    <n v="53.648281249999997"/>
    <n v="4.2"/>
    <n v="16.075862069999999"/>
    <n v="53.785714290000001"/>
    <n v="4.0999999999999996"/>
    <n v="18.27550725"/>
    <n v="92.593999999999994"/>
    <n v="89.99"/>
    <n v="92.160000000000011"/>
    <n v="14.203271028037383"/>
  </r>
  <r>
    <x v="33"/>
    <x v="1"/>
    <x v="7"/>
    <n v="14"/>
    <n v="1259.8599999999999"/>
    <n v="42.607142860000003"/>
    <n v="89.99"/>
    <x v="18"/>
    <n v="1893"/>
    <n v="1"/>
    <n v="6050"/>
    <n v="4.0999999999999996"/>
    <n v="184"/>
    <n v="21"/>
    <n v="10"/>
    <n v="1"/>
    <n v="12"/>
    <n v="2017"/>
    <n v="18.18181818"/>
    <n v="8000"/>
    <n v="55.1"/>
    <n v="4.0999999999999996"/>
    <n v="15.759607839999999"/>
    <n v="55.424999999999997"/>
    <n v="4.2"/>
    <n v="19.184374999999999"/>
    <n v="55.75"/>
    <n v="4.0999999999999996"/>
    <n v="17.267272729999998"/>
    <n v="89.99"/>
    <n v="89.99"/>
    <n v="89.99"/>
    <n v="14.219114219114219"/>
  </r>
  <r>
    <x v="33"/>
    <x v="1"/>
    <x v="8"/>
    <n v="12"/>
    <n v="1479.98"/>
    <n v="39.194166670000001"/>
    <n v="123.3316667"/>
    <x v="18"/>
    <n v="1893"/>
    <n v="1"/>
    <n v="6050"/>
    <n v="4.0999999999999996"/>
    <n v="137"/>
    <n v="23"/>
    <n v="8"/>
    <n v="2"/>
    <n v="1"/>
    <n v="2018"/>
    <n v="18.75"/>
    <n v="8000"/>
    <n v="49.9"/>
    <n v="4.0999999999999996"/>
    <n v="19.495000000000001"/>
    <n v="49.9"/>
    <n v="4.2"/>
    <n v="15.841034479999999"/>
    <n v="49.9"/>
    <n v="4.0999999999999996"/>
    <n v="16.505128209999999"/>
    <n v="89.99"/>
    <n v="123.33166666666666"/>
    <n v="89.99"/>
    <n v="14.21860465116279"/>
  </r>
  <r>
    <x v="33"/>
    <x v="1"/>
    <x v="9"/>
    <n v="14"/>
    <n v="1680"/>
    <n v="33.002142859999999"/>
    <n v="120"/>
    <x v="18"/>
    <n v="1893"/>
    <n v="1"/>
    <n v="6050"/>
    <n v="4.0999999999999996"/>
    <n v="160"/>
    <n v="20"/>
    <n v="8"/>
    <n v="2"/>
    <n v="2"/>
    <n v="2018"/>
    <n v="11.586850650000001"/>
    <n v="8000"/>
    <n v="50.545161290000003"/>
    <n v="4.0999999999999996"/>
    <n v="16.611538459999998"/>
    <n v="50.9"/>
    <n v="4.2"/>
    <n v="17.519444440000001"/>
    <n v="50.357142860000003"/>
    <n v="4.0999999999999996"/>
    <n v="18.281874999999999"/>
    <n v="123.3316667"/>
    <n v="120"/>
    <n v="123.33166666666666"/>
    <n v="14.213457076566126"/>
  </r>
  <r>
    <x v="33"/>
    <x v="1"/>
    <x v="10"/>
    <n v="6"/>
    <n v="680"/>
    <n v="50.193333330000002"/>
    <n v="113.33333330000001"/>
    <x v="18"/>
    <n v="1893"/>
    <n v="1"/>
    <n v="6050"/>
    <n v="4.0999999999999996"/>
    <n v="116"/>
    <n v="22"/>
    <n v="9"/>
    <n v="1"/>
    <n v="3"/>
    <n v="2018"/>
    <n v="11.83035714"/>
    <n v="8000"/>
    <n v="53.9"/>
    <n v="4.0999999999999996"/>
    <n v="20.359677420000001"/>
    <n v="53.9"/>
    <n v="4.2"/>
    <n v="21.852857140000001"/>
    <n v="53.9"/>
    <n v="4.0999999999999996"/>
    <n v="19.024230769999999"/>
    <n v="120"/>
    <n v="113.33333333333333"/>
    <n v="120"/>
    <n v="14.212962962962964"/>
  </r>
  <r>
    <x v="33"/>
    <x v="1"/>
    <x v="11"/>
    <n v="7"/>
    <n v="770"/>
    <n v="42.211428570000002"/>
    <n v="110"/>
    <x v="18"/>
    <n v="1893"/>
    <n v="1"/>
    <n v="6050"/>
    <n v="4.0999999999999996"/>
    <n v="111"/>
    <n v="21"/>
    <n v="9"/>
    <n v="1"/>
    <n v="4"/>
    <n v="2018"/>
    <n v="10.66355519"/>
    <n v="8000"/>
    <n v="53.9"/>
    <n v="4.0999999999999996"/>
    <n v="5.2817391300000001"/>
    <n v="53.9"/>
    <n v="4.2"/>
    <n v="19.46846154"/>
    <n v="53.9"/>
    <n v="4.0999999999999996"/>
    <n v="19.071428569999998"/>
    <n v="113.33333330000001"/>
    <n v="110"/>
    <n v="113.33333333333333"/>
    <n v="14.193995381062356"/>
  </r>
  <r>
    <x v="33"/>
    <x v="1"/>
    <x v="12"/>
    <n v="8"/>
    <n v="880"/>
    <n v="39.371250000000003"/>
    <n v="110"/>
    <x v="18"/>
    <n v="1893"/>
    <n v="1"/>
    <n v="6050"/>
    <n v="4.0999999999999996"/>
    <n v="102"/>
    <n v="23"/>
    <n v="8"/>
    <n v="3"/>
    <n v="5"/>
    <n v="2018"/>
    <n v="7.5487012990000002"/>
    <n v="8000"/>
    <n v="53.415151520000002"/>
    <n v="4.0999999999999996"/>
    <n v="10.753035710000001"/>
    <n v="53.70952381"/>
    <n v="4.2"/>
    <n v="13.510344829999999"/>
    <n v="53.057894740000002"/>
    <n v="4.0999999999999996"/>
    <n v="12.98"/>
    <n v="110"/>
    <n v="110"/>
    <n v="110"/>
    <n v="14.17741935483871"/>
  </r>
  <r>
    <x v="33"/>
    <x v="1"/>
    <x v="13"/>
    <n v="10"/>
    <n v="969.9"/>
    <n v="41.186"/>
    <n v="96.656666670000007"/>
    <x v="18"/>
    <n v="1893"/>
    <n v="1"/>
    <n v="6050"/>
    <n v="4.0999999999999996"/>
    <n v="58"/>
    <n v="21"/>
    <n v="9"/>
    <n v="0"/>
    <n v="6"/>
    <n v="2018"/>
    <n v="9.1112012989999993"/>
    <n v="8000"/>
    <n v="49.9"/>
    <n v="4.0999999999999996"/>
    <n v="19.89083333"/>
    <n v="49.9"/>
    <n v="4.2"/>
    <n v="23.251666669999999"/>
    <n v="49.9"/>
    <n v="4.0999999999999996"/>
    <n v="22.878666670000001"/>
    <n v="110"/>
    <n v="96.99"/>
    <n v="110"/>
    <n v="14.163218390804598"/>
  </r>
  <r>
    <x v="33"/>
    <x v="1"/>
    <x v="14"/>
    <n v="5"/>
    <n v="499.95"/>
    <n v="44.231999999999999"/>
    <n v="99.99"/>
    <x v="18"/>
    <n v="1893"/>
    <n v="1"/>
    <n v="6050"/>
    <n v="4.0999999999999996"/>
    <n v="54"/>
    <n v="22"/>
    <n v="9"/>
    <n v="1"/>
    <n v="7"/>
    <n v="2018"/>
    <n v="5.2049512990000002"/>
    <n v="8000"/>
    <n v="49.91"/>
    <n v="4.0999999999999996"/>
    <n v="28.373333330000001"/>
    <n v="49.9"/>
    <n v="4.2"/>
    <n v="33.281428570000003"/>
    <n v="49.9"/>
    <n v="4.0999999999999996"/>
    <n v="20.99"/>
    <n v="96.656666670000007"/>
    <n v="99.99"/>
    <n v="96.99"/>
    <n v="14.153669724770642"/>
  </r>
  <r>
    <x v="33"/>
    <x v="1"/>
    <x v="15"/>
    <n v="2"/>
    <n v="199.98"/>
    <n v="47.744999999999997"/>
    <n v="99.99"/>
    <x v="18"/>
    <n v="1893"/>
    <n v="1"/>
    <n v="6050"/>
    <n v="4.0999999999999996"/>
    <n v="46"/>
    <n v="23"/>
    <n v="8"/>
    <n v="1"/>
    <n v="8"/>
    <n v="2018"/>
    <n v="3.125"/>
    <n v="8000"/>
    <n v="49.91"/>
    <n v="4.0999999999999996"/>
    <n v="20.32833333"/>
    <n v="49.9"/>
    <n v="4.2"/>
    <n v="36.442"/>
    <n v="49.9"/>
    <n v="4.0999999999999996"/>
    <n v="32.32"/>
    <n v="99.99"/>
    <n v="99.99"/>
    <n v="99.99"/>
    <n v="14.132723112128147"/>
  </r>
  <r>
    <x v="34"/>
    <x v="0"/>
    <x v="18"/>
    <n v="2"/>
    <n v="179.8"/>
    <n v="13.02"/>
    <n v="89.9"/>
    <x v="7"/>
    <n v="245"/>
    <n v="1"/>
    <n v="1383"/>
    <n v="3.9"/>
    <n v="2"/>
    <n v="20"/>
    <n v="8"/>
    <n v="2"/>
    <n v="2"/>
    <n v="2017"/>
    <n v="8.8723015319999998"/>
    <n v="20000"/>
    <n v="89.9"/>
    <n v="3.9"/>
    <n v="13.02"/>
    <n v="89.9"/>
    <n v="3.9"/>
    <n v="13.02"/>
    <n v="89.9"/>
    <n v="3.9"/>
    <n v="13.02"/>
    <n v="89.85"/>
    <n v="89.9"/>
    <s v=""/>
    <n v="14.105022831050228"/>
  </r>
  <r>
    <x v="34"/>
    <x v="0"/>
    <x v="16"/>
    <n v="22"/>
    <n v="1977.8"/>
    <n v="13.65272727"/>
    <n v="89.9"/>
    <x v="7"/>
    <n v="245"/>
    <n v="1"/>
    <n v="1383"/>
    <n v="3.9"/>
    <n v="20"/>
    <n v="23"/>
    <n v="8"/>
    <n v="1"/>
    <n v="3"/>
    <n v="2017"/>
    <n v="9.7046918519999998"/>
    <n v="20000"/>
    <n v="89.9"/>
    <n v="3.9"/>
    <n v="13.65272727"/>
    <n v="89.9"/>
    <n v="3.9"/>
    <n v="13.65272727"/>
    <n v="89.9"/>
    <n v="3.9"/>
    <n v="13.65272727"/>
    <n v="89.9"/>
    <n v="89.899999999999991"/>
    <n v="89.9"/>
    <n v="14.077448747152619"/>
  </r>
  <r>
    <x v="34"/>
    <x v="0"/>
    <x v="17"/>
    <n v="34"/>
    <n v="3056.6"/>
    <n v="15.05"/>
    <n v="89.9"/>
    <x v="7"/>
    <n v="245"/>
    <n v="1"/>
    <n v="1383"/>
    <n v="3.9"/>
    <n v="31"/>
    <n v="20"/>
    <n v="10"/>
    <n v="2"/>
    <n v="4"/>
    <n v="2017"/>
    <n v="7.0791260449999998"/>
    <n v="20000"/>
    <n v="89.9"/>
    <n v="3.9"/>
    <n v="15.05"/>
    <n v="89.9"/>
    <n v="3.9"/>
    <n v="15.05"/>
    <n v="89.9"/>
    <n v="3.9"/>
    <n v="15.05"/>
    <n v="89.9"/>
    <n v="89.899999999999991"/>
    <n v="89.899999999999991"/>
    <n v="14.095454545454546"/>
  </r>
  <r>
    <x v="34"/>
    <x v="0"/>
    <x v="0"/>
    <n v="58"/>
    <n v="5214.2"/>
    <n v="15.011896549999999"/>
    <n v="89.9"/>
    <x v="7"/>
    <n v="245"/>
    <n v="1"/>
    <n v="1383"/>
    <n v="3.9"/>
    <n v="57"/>
    <n v="23"/>
    <n v="8"/>
    <n v="1"/>
    <n v="5"/>
    <n v="2017"/>
    <n v="18.23424443"/>
    <n v="20000"/>
    <n v="89.9"/>
    <n v="3.9"/>
    <n v="15.011896549999999"/>
    <n v="215"/>
    <n v="4.4000000000000004"/>
    <n v="8.76"/>
    <n v="45.95"/>
    <n v="4"/>
    <n v="15.1"/>
    <n v="89.9"/>
    <n v="89.899999999999991"/>
    <n v="89.899999999999991"/>
    <n v="14.140589569160998"/>
  </r>
  <r>
    <x v="34"/>
    <x v="0"/>
    <x v="1"/>
    <n v="51"/>
    <n v="4584.8999999999996"/>
    <n v="14.769215689999999"/>
    <n v="89.9"/>
    <x v="7"/>
    <n v="245"/>
    <n v="1"/>
    <n v="1383"/>
    <n v="3.9"/>
    <n v="61"/>
    <n v="22"/>
    <n v="8"/>
    <n v="1"/>
    <n v="6"/>
    <n v="2017"/>
    <n v="16.087439069999999"/>
    <n v="20000"/>
    <n v="89.9"/>
    <n v="3.9"/>
    <n v="14.769215689999999"/>
    <n v="209"/>
    <n v="4.4000000000000004"/>
    <n v="21.321999999999999"/>
    <n v="45.95"/>
    <n v="4"/>
    <n v="12.93333333"/>
    <n v="89.9"/>
    <n v="89.899999999999991"/>
    <n v="89.899999999999991"/>
    <n v="14.239819004524886"/>
  </r>
  <r>
    <x v="34"/>
    <x v="0"/>
    <x v="2"/>
    <n v="60"/>
    <n v="5394"/>
    <n v="13.993833329999999"/>
    <n v="89.9"/>
    <x v="7"/>
    <n v="245"/>
    <n v="1"/>
    <n v="1383"/>
    <n v="3.9"/>
    <n v="123"/>
    <n v="21"/>
    <n v="10"/>
    <n v="1"/>
    <n v="7"/>
    <n v="2017"/>
    <n v="12.26279596"/>
    <n v="20000"/>
    <n v="89.9"/>
    <n v="3.9"/>
    <n v="13.993833329999999"/>
    <n v="205"/>
    <n v="4.4000000000000004"/>
    <n v="22.195932200000001"/>
    <n v="45.95"/>
    <n v="4"/>
    <n v="14.84"/>
    <n v="89.9"/>
    <n v="89.9"/>
    <n v="89.899999999999991"/>
    <n v="14.322799097065463"/>
  </r>
  <r>
    <x v="34"/>
    <x v="0"/>
    <x v="3"/>
    <n v="37"/>
    <n v="3326.3"/>
    <n v="14.65675676"/>
    <n v="89.9"/>
    <x v="7"/>
    <n v="245"/>
    <n v="1"/>
    <n v="1383"/>
    <n v="3.9"/>
    <n v="90"/>
    <n v="23"/>
    <n v="8"/>
    <n v="1"/>
    <n v="8"/>
    <n v="2017"/>
    <n v="7.8875783430000004"/>
    <n v="20000"/>
    <n v="89.9"/>
    <n v="3.9"/>
    <n v="14.65675676"/>
    <n v="199.50980390000001"/>
    <n v="4.4000000000000004"/>
    <n v="19.41288462"/>
    <n v="45.95"/>
    <n v="4"/>
    <n v="14.2875"/>
    <n v="89.9"/>
    <n v="89.9"/>
    <n v="89.9"/>
    <n v="14.425675675675675"/>
  </r>
  <r>
    <x v="34"/>
    <x v="0"/>
    <x v="4"/>
    <n v="23"/>
    <n v="2067.6999999999998"/>
    <n v="18.77652174"/>
    <n v="89.9"/>
    <x v="7"/>
    <n v="245"/>
    <n v="1"/>
    <n v="1383"/>
    <n v="3.9"/>
    <n v="54"/>
    <n v="21"/>
    <n v="9"/>
    <n v="1"/>
    <n v="9"/>
    <n v="2017"/>
    <n v="6.4066852369999996"/>
    <n v="20000"/>
    <n v="89.9"/>
    <n v="3.9"/>
    <n v="18.77652174"/>
    <n v="163.39870970000001"/>
    <n v="4.4000000000000004"/>
    <n v="24.3246875"/>
    <n v="45.95"/>
    <n v="4"/>
    <n v="15.1"/>
    <n v="89.9"/>
    <n v="89.899999999999991"/>
    <n v="89.9"/>
    <n v="14.476404494382022"/>
  </r>
  <r>
    <x v="34"/>
    <x v="0"/>
    <x v="5"/>
    <n v="14"/>
    <n v="1258.5999999999999"/>
    <n v="21.57214286"/>
    <n v="89.9"/>
    <x v="7"/>
    <n v="245"/>
    <n v="1"/>
    <n v="1383"/>
    <n v="3.9"/>
    <n v="50"/>
    <n v="22"/>
    <n v="9"/>
    <n v="2"/>
    <n v="10"/>
    <n v="2017"/>
    <n v="3.8997214480000002"/>
    <n v="20000"/>
    <n v="89.9"/>
    <n v="3.9"/>
    <n v="21.57214286"/>
    <n v="89.9"/>
    <n v="3.9"/>
    <n v="21.57214286"/>
    <n v="45.95"/>
    <n v="4"/>
    <n v="15.1"/>
    <n v="89.9"/>
    <n v="89.899999999999991"/>
    <n v="89.899999999999991"/>
    <n v="14.495515695067265"/>
  </r>
  <r>
    <x v="34"/>
    <x v="0"/>
    <x v="6"/>
    <n v="40"/>
    <n v="3596"/>
    <n v="16.294"/>
    <n v="89.9"/>
    <x v="7"/>
    <n v="245"/>
    <n v="1"/>
    <n v="1383"/>
    <n v="3.9"/>
    <n v="97"/>
    <n v="22"/>
    <n v="8"/>
    <n v="4"/>
    <n v="11"/>
    <n v="2017"/>
    <n v="11.14206128"/>
    <n v="20000"/>
    <n v="89.9"/>
    <n v="3.9"/>
    <n v="16.294"/>
    <n v="89.9"/>
    <n v="3.9"/>
    <n v="16.294"/>
    <n v="40.531818180000002"/>
    <n v="4"/>
    <n v="15.832727269999999"/>
    <n v="89.9"/>
    <n v="89.9"/>
    <n v="89.899999999999991"/>
    <n v="14.494407158836689"/>
  </r>
  <r>
    <x v="34"/>
    <x v="0"/>
    <x v="7"/>
    <n v="18"/>
    <n v="1594.2"/>
    <n v="18.89833333"/>
    <n v="88.488235290000006"/>
    <x v="7"/>
    <n v="245"/>
    <n v="1"/>
    <n v="1383"/>
    <n v="3.9"/>
    <n v="41"/>
    <n v="21"/>
    <n v="10"/>
    <n v="1"/>
    <n v="12"/>
    <n v="2017"/>
    <n v="5.0139275769999996"/>
    <n v="20000"/>
    <n v="88.488235290000006"/>
    <n v="3.9"/>
    <n v="18.89833333"/>
    <n v="88.488235290000006"/>
    <n v="3.9"/>
    <n v="18.89833333"/>
    <n v="39.99"/>
    <n v="4"/>
    <n v="15.23"/>
    <n v="89.9"/>
    <n v="88.566666666666663"/>
    <n v="89.9"/>
    <n v="14.551339285714286"/>
  </r>
  <r>
    <x v="34"/>
    <x v="0"/>
    <x v="8"/>
    <n v="17"/>
    <n v="1477.3"/>
    <n v="19.383529410000001"/>
    <n v="86.9"/>
    <x v="7"/>
    <n v="245"/>
    <n v="1"/>
    <n v="1383"/>
    <n v="3.9"/>
    <n v="62"/>
    <n v="23"/>
    <n v="8"/>
    <n v="2"/>
    <n v="1"/>
    <n v="2018"/>
    <n v="13.28125"/>
    <n v="20000"/>
    <n v="86.9"/>
    <n v="3.9"/>
    <n v="19.383529410000001"/>
    <n v="86.9"/>
    <n v="3.9"/>
    <n v="19.383529410000001"/>
    <n v="39.99"/>
    <n v="4"/>
    <n v="16.533684210000001"/>
    <n v="88.488235290000006"/>
    <n v="86.899999999999991"/>
    <n v="88.566666666666663"/>
    <n v="14.559020044543431"/>
  </r>
  <r>
    <x v="34"/>
    <x v="0"/>
    <x v="9"/>
    <n v="22"/>
    <n v="1911.8"/>
    <n v="19.20909091"/>
    <n v="86.9"/>
    <x v="7"/>
    <n v="245"/>
    <n v="1"/>
    <n v="1383"/>
    <n v="3.9"/>
    <n v="62"/>
    <n v="20"/>
    <n v="8"/>
    <n v="2"/>
    <n v="2"/>
    <n v="2018"/>
    <n v="8.8723015319999998"/>
    <n v="20000"/>
    <n v="86.9"/>
    <n v="3.9"/>
    <n v="19.20909091"/>
    <n v="86.9"/>
    <n v="3.9"/>
    <n v="19.20909091"/>
    <n v="39.99"/>
    <n v="4"/>
    <n v="13.74944444"/>
    <n v="86.9"/>
    <n v="86.899999999999991"/>
    <n v="86.899999999999991"/>
    <n v="14.564444444444444"/>
  </r>
  <r>
    <x v="34"/>
    <x v="0"/>
    <x v="10"/>
    <n v="17"/>
    <n v="1477.3"/>
    <n v="19.982352939999998"/>
    <n v="86.9"/>
    <x v="7"/>
    <n v="245"/>
    <n v="1"/>
    <n v="1383"/>
    <n v="3.9"/>
    <n v="43"/>
    <n v="22"/>
    <n v="9"/>
    <n v="1"/>
    <n v="3"/>
    <n v="2018"/>
    <n v="9.7046918519999998"/>
    <n v="20000"/>
    <n v="86.9"/>
    <n v="3.9"/>
    <n v="19.982352939999998"/>
    <n v="86.9"/>
    <n v="3.9"/>
    <n v="19.982352939999998"/>
    <n v="39.99"/>
    <n v="4"/>
    <n v="16.462352939999999"/>
    <n v="86.9"/>
    <n v="86.899999999999991"/>
    <n v="86.899999999999991"/>
    <n v="14.580931263858092"/>
  </r>
  <r>
    <x v="34"/>
    <x v="0"/>
    <x v="11"/>
    <n v="6"/>
    <n v="510.27"/>
    <n v="12.94"/>
    <n v="85.045000000000002"/>
    <x v="7"/>
    <n v="245"/>
    <n v="1"/>
    <n v="1383"/>
    <n v="3.9"/>
    <n v="34"/>
    <n v="21"/>
    <n v="9"/>
    <n v="1"/>
    <n v="4"/>
    <n v="2018"/>
    <n v="7.0791260449999998"/>
    <n v="20000"/>
    <n v="85.045000000000002"/>
    <n v="3.9"/>
    <n v="12.94"/>
    <n v="85.045000000000002"/>
    <n v="3.9"/>
    <n v="12.94"/>
    <n v="39.99"/>
    <n v="4"/>
    <n v="14.236153850000001"/>
    <n v="86.9"/>
    <n v="85.045000000000002"/>
    <n v="86.899999999999991"/>
    <n v="14.586283185840708"/>
  </r>
  <r>
    <x v="34"/>
    <x v="0"/>
    <x v="12"/>
    <n v="26"/>
    <n v="2174.89"/>
    <n v="16.78038462"/>
    <n v="83.64961538"/>
    <x v="7"/>
    <n v="245"/>
    <n v="1"/>
    <n v="1383"/>
    <n v="3.9"/>
    <n v="57"/>
    <n v="23"/>
    <n v="8"/>
    <n v="3"/>
    <n v="5"/>
    <n v="2018"/>
    <n v="18.23424443"/>
    <n v="20000"/>
    <n v="83.64961538"/>
    <n v="3.9"/>
    <n v="16.78038462"/>
    <n v="83.64961538"/>
    <n v="3.9"/>
    <n v="16.78038462"/>
    <n v="39.99"/>
    <n v="4"/>
    <n v="10.25631579"/>
    <n v="85.045000000000002"/>
    <n v="83.649615384615373"/>
    <n v="85.045000000000002"/>
    <n v="14.567328918322296"/>
  </r>
  <r>
    <x v="34"/>
    <x v="0"/>
    <x v="13"/>
    <n v="23"/>
    <n v="1837.7"/>
    <n v="23.005652170000001"/>
    <n v="79.900000000000006"/>
    <x v="7"/>
    <n v="245"/>
    <n v="1"/>
    <n v="1383"/>
    <n v="3.9"/>
    <n v="43"/>
    <n v="21"/>
    <n v="9"/>
    <n v="0"/>
    <n v="6"/>
    <n v="2018"/>
    <n v="16.087439069999999"/>
    <n v="20000"/>
    <n v="79.900000000000006"/>
    <n v="3.9"/>
    <n v="23.005652170000001"/>
    <n v="79.900000000000006"/>
    <n v="3.9"/>
    <n v="23.005652170000001"/>
    <n v="39.99"/>
    <n v="4"/>
    <n v="13.997999999999999"/>
    <n v="83.64961538"/>
    <n v="79.900000000000006"/>
    <n v="83.649615384615373"/>
    <n v="14.592511013215859"/>
  </r>
  <r>
    <x v="34"/>
    <x v="0"/>
    <x v="14"/>
    <n v="10"/>
    <n v="781.3"/>
    <n v="19.952000000000002"/>
    <n v="77.933333329999996"/>
    <x v="7"/>
    <n v="245"/>
    <n v="1"/>
    <n v="1383"/>
    <n v="3.9"/>
    <n v="26"/>
    <n v="22"/>
    <n v="9"/>
    <n v="1"/>
    <n v="7"/>
    <n v="2018"/>
    <n v="12.26279596"/>
    <n v="20000"/>
    <n v="77.933333329999996"/>
    <n v="3.9"/>
    <n v="19.952000000000002"/>
    <n v="77.933333329999996"/>
    <n v="3.9"/>
    <n v="19.952000000000002"/>
    <n v="39.99"/>
    <n v="4"/>
    <n v="20.4175"/>
    <n v="79.900000000000006"/>
    <n v="78.13"/>
    <n v="79.900000000000006"/>
    <n v="14.610989010989011"/>
  </r>
  <r>
    <x v="34"/>
    <x v="0"/>
    <x v="15"/>
    <n v="7"/>
    <n v="518"/>
    <n v="17.25571429"/>
    <n v="74"/>
    <x v="7"/>
    <n v="245"/>
    <n v="1"/>
    <n v="1383"/>
    <n v="3.9"/>
    <n v="15"/>
    <n v="23"/>
    <n v="8"/>
    <n v="1"/>
    <n v="8"/>
    <n v="2018"/>
    <n v="7.8875783430000004"/>
    <n v="20000"/>
    <n v="74"/>
    <n v="3.9"/>
    <n v="17.25571429"/>
    <n v="74"/>
    <n v="3.9"/>
    <n v="17.25571429"/>
    <n v="39.24"/>
    <n v="4"/>
    <n v="16.333749999999998"/>
    <n v="77.933333329999996"/>
    <n v="74"/>
    <n v="78.13"/>
    <n v="14.600877192982455"/>
  </r>
  <r>
    <x v="35"/>
    <x v="8"/>
    <x v="3"/>
    <n v="1"/>
    <n v="38.4"/>
    <n v="11.85"/>
    <n v="38.4"/>
    <x v="19"/>
    <n v="789"/>
    <n v="1"/>
    <n v="950"/>
    <n v="3.8"/>
    <n v="14"/>
    <n v="23"/>
    <n v="8"/>
    <n v="1"/>
    <n v="8"/>
    <n v="2017"/>
    <n v="2.079759863"/>
    <n v="14000"/>
    <n v="75"/>
    <n v="4.0999999999999996"/>
    <n v="15.376923079999999"/>
    <n v="38.4"/>
    <n v="3.7"/>
    <n v="12.105"/>
    <n v="38.4"/>
    <n v="3.8"/>
    <n v="11.85"/>
    <n v="38.35"/>
    <n v="38.4"/>
    <s v=""/>
    <n v="14.584245076586432"/>
  </r>
  <r>
    <x v="35"/>
    <x v="8"/>
    <x v="4"/>
    <n v="6"/>
    <n v="230.4"/>
    <n v="13.5"/>
    <n v="38.4"/>
    <x v="19"/>
    <n v="789"/>
    <n v="1"/>
    <n v="950"/>
    <n v="3.8"/>
    <n v="7"/>
    <n v="21"/>
    <n v="9"/>
    <n v="1"/>
    <n v="9"/>
    <n v="2017"/>
    <n v="11.32075472"/>
    <n v="14000"/>
    <n v="38.4"/>
    <n v="3.8"/>
    <n v="13.5"/>
    <n v="38.4"/>
    <n v="3.7"/>
    <n v="17.95"/>
    <n v="38.4"/>
    <n v="3.8"/>
    <n v="13.5"/>
    <n v="38.4"/>
    <n v="38.4"/>
    <n v="38.4"/>
    <n v="14.554585152838428"/>
  </r>
  <r>
    <x v="35"/>
    <x v="8"/>
    <x v="5"/>
    <n v="8"/>
    <n v="307.2"/>
    <n v="15.55875"/>
    <n v="38.4"/>
    <x v="19"/>
    <n v="789"/>
    <n v="1"/>
    <n v="950"/>
    <n v="3.8"/>
    <n v="17"/>
    <n v="22"/>
    <n v="9"/>
    <n v="2"/>
    <n v="10"/>
    <n v="2017"/>
    <n v="15.09433962"/>
    <n v="14000"/>
    <n v="75"/>
    <n v="4.0999999999999996"/>
    <n v="13.64"/>
    <n v="38.4"/>
    <n v="3.7"/>
    <n v="13.98"/>
    <n v="38.4"/>
    <n v="3.8"/>
    <n v="15.55875"/>
    <n v="38.4"/>
    <n v="38.4"/>
    <n v="38.4"/>
    <n v="14.535947712418301"/>
  </r>
  <r>
    <x v="35"/>
    <x v="8"/>
    <x v="6"/>
    <n v="34"/>
    <n v="1170.3499999999999"/>
    <n v="13.750588240000001"/>
    <n v="34.581176470000003"/>
    <x v="19"/>
    <n v="789"/>
    <n v="1"/>
    <n v="950"/>
    <n v="3.8"/>
    <n v="64"/>
    <n v="22"/>
    <n v="8"/>
    <n v="4"/>
    <n v="11"/>
    <n v="2017"/>
    <n v="64.150943400000003"/>
    <n v="14000"/>
    <n v="75"/>
    <n v="4.0999999999999996"/>
    <n v="16.13272727"/>
    <n v="36.854285709999999"/>
    <n v="3.7"/>
    <n v="13.65214286"/>
    <n v="99.9"/>
    <n v="4.4000000000000004"/>
    <n v="21.19"/>
    <n v="38.4"/>
    <n v="34.422058823529412"/>
    <n v="38.4"/>
    <n v="14.521739130434783"/>
  </r>
  <r>
    <x v="35"/>
    <x v="8"/>
    <x v="7"/>
    <n v="4"/>
    <n v="153.6"/>
    <n v="11.015000000000001"/>
    <n v="38.4"/>
    <x v="19"/>
    <n v="789"/>
    <n v="1"/>
    <n v="950"/>
    <n v="3.8"/>
    <n v="40"/>
    <n v="21"/>
    <n v="10"/>
    <n v="1"/>
    <n v="12"/>
    <n v="2017"/>
    <n v="7.5471698109999998"/>
    <n v="14000"/>
    <n v="75"/>
    <n v="4.0999999999999996"/>
    <n v="17.446382979999999"/>
    <n v="38.4"/>
    <n v="3.8"/>
    <n v="11.015000000000001"/>
    <n v="99.9"/>
    <n v="4.4000000000000004"/>
    <n v="20.646666669999998"/>
    <n v="34.581176470000003"/>
    <n v="38.4"/>
    <n v="34.422058823529412"/>
    <n v="14.563991323210413"/>
  </r>
  <r>
    <x v="35"/>
    <x v="8"/>
    <x v="8"/>
    <n v="15"/>
    <n v="576"/>
    <n v="14.27533333"/>
    <n v="38.4"/>
    <x v="19"/>
    <n v="789"/>
    <n v="1"/>
    <n v="950"/>
    <n v="3.8"/>
    <n v="125"/>
    <n v="23"/>
    <n v="8"/>
    <n v="2"/>
    <n v="1"/>
    <n v="2018"/>
    <n v="34.090909089999997"/>
    <n v="14000"/>
    <n v="69.995327099999997"/>
    <n v="4.0999999999999996"/>
    <n v="17.663114749999998"/>
    <n v="38.4"/>
    <n v="3.7"/>
    <n v="9.34"/>
    <n v="99.9"/>
    <n v="4.4000000000000004"/>
    <n v="22.819230770000001"/>
    <n v="38.4"/>
    <n v="38.4"/>
    <n v="38.4"/>
    <n v="14.541125541125542"/>
  </r>
  <r>
    <x v="35"/>
    <x v="8"/>
    <x v="9"/>
    <n v="4"/>
    <n v="153.6"/>
    <n v="15.61"/>
    <n v="38.4"/>
    <x v="19"/>
    <n v="789"/>
    <n v="1"/>
    <n v="950"/>
    <n v="3.8"/>
    <n v="52"/>
    <n v="20"/>
    <n v="8"/>
    <n v="2"/>
    <n v="2"/>
    <n v="2018"/>
    <n v="9.0909090910000003"/>
    <n v="14000"/>
    <n v="69.900000000000006"/>
    <n v="4.0999999999999996"/>
    <n v="16.115909089999999"/>
    <n v="38.4"/>
    <n v="3.7"/>
    <n v="18.685555560000001"/>
    <n v="99.9"/>
    <n v="4.4000000000000004"/>
    <n v="28.89076923"/>
    <n v="38.4"/>
    <n v="38.4"/>
    <n v="38.4"/>
    <n v="14.542116630669547"/>
  </r>
  <r>
    <x v="35"/>
    <x v="8"/>
    <x v="10"/>
    <n v="14"/>
    <n v="493.4"/>
    <n v="15.18928571"/>
    <n v="35.485714289999997"/>
    <x v="19"/>
    <n v="789"/>
    <n v="1"/>
    <n v="950"/>
    <n v="3.8"/>
    <n v="83"/>
    <n v="22"/>
    <n v="9"/>
    <n v="1"/>
    <n v="3"/>
    <n v="2018"/>
    <n v="31.81818182"/>
    <n v="14000"/>
    <n v="69.900000000000006"/>
    <n v="4.0999999999999996"/>
    <n v="18.425076919999999"/>
    <n v="35.485714289999997"/>
    <n v="3.7"/>
    <n v="15.44823529"/>
    <n v="99.9"/>
    <n v="4.4000000000000004"/>
    <n v="22.145833329999999"/>
    <n v="38.4"/>
    <n v="35.24285714285714"/>
    <n v="38.4"/>
    <n v="14.519396551724139"/>
  </r>
  <r>
    <x v="35"/>
    <x v="8"/>
    <x v="11"/>
    <n v="4"/>
    <n v="140"/>
    <n v="15"/>
    <n v="35"/>
    <x v="19"/>
    <n v="789"/>
    <n v="1"/>
    <n v="950"/>
    <n v="3.8"/>
    <n v="92"/>
    <n v="21"/>
    <n v="9"/>
    <n v="1"/>
    <n v="4"/>
    <n v="2018"/>
    <n v="9.0909090910000003"/>
    <n v="14000"/>
    <n v="69.900000000000006"/>
    <n v="4.0999999999999996"/>
    <n v="9.0715662649999995"/>
    <n v="35"/>
    <n v="3.7"/>
    <n v="13.46941176"/>
    <n v="99.9"/>
    <n v="4.4000000000000004"/>
    <n v="23.32769231"/>
    <n v="35.485714289999997"/>
    <n v="35"/>
    <n v="35.24285714285714"/>
    <n v="14.518279569892472"/>
  </r>
  <r>
    <x v="35"/>
    <x v="8"/>
    <x v="12"/>
    <n v="4"/>
    <n v="140"/>
    <n v="11.58"/>
    <n v="35"/>
    <x v="19"/>
    <n v="789"/>
    <n v="1"/>
    <n v="950"/>
    <n v="3.8"/>
    <n v="95"/>
    <n v="23"/>
    <n v="8"/>
    <n v="3"/>
    <n v="5"/>
    <n v="2018"/>
    <n v="9.0909090910000003"/>
    <n v="14000"/>
    <n v="69.900000000000006"/>
    <n v="4.0999999999999996"/>
    <n v="3.8016304349999999"/>
    <n v="35"/>
    <n v="3.7"/>
    <n v="14.634545449999999"/>
    <n v="99.9"/>
    <n v="4.4000000000000004"/>
    <n v="19.41076923"/>
    <n v="35"/>
    <n v="35"/>
    <n v="35"/>
    <n v="14.495708154506438"/>
  </r>
  <r>
    <x v="35"/>
    <x v="8"/>
    <x v="13"/>
    <n v="2"/>
    <n v="70"/>
    <n v="19.32"/>
    <n v="35"/>
    <x v="19"/>
    <n v="789"/>
    <n v="1"/>
    <n v="950"/>
    <n v="3.8"/>
    <n v="18"/>
    <n v="21"/>
    <n v="9"/>
    <n v="0"/>
    <n v="6"/>
    <n v="2018"/>
    <n v="4.5454545450000001"/>
    <n v="14000"/>
    <n v="89.9"/>
    <n v="4.0999999999999996"/>
    <n v="21.93"/>
    <n v="35"/>
    <n v="3.7"/>
    <n v="18.10153846"/>
    <n v="99.9"/>
    <n v="4.4000000000000004"/>
    <n v="25.635999999999999"/>
    <n v="35"/>
    <n v="35"/>
    <n v="35"/>
    <n v="14.473233404710921"/>
  </r>
  <r>
    <x v="35"/>
    <x v="8"/>
    <x v="15"/>
    <n v="1"/>
    <n v="35"/>
    <n v="19.440000000000001"/>
    <n v="35"/>
    <x v="19"/>
    <n v="789"/>
    <n v="1"/>
    <n v="950"/>
    <n v="3.8"/>
    <n v="19"/>
    <n v="23"/>
    <n v="8"/>
    <n v="1"/>
    <n v="8"/>
    <n v="2018"/>
    <n v="2.079759863"/>
    <n v="14000"/>
    <n v="103.2333333"/>
    <n v="4.0999999999999996"/>
    <n v="22.3"/>
    <n v="35"/>
    <n v="3.7"/>
    <n v="15.628125000000001"/>
    <n v="83.833333330000002"/>
    <n v="4.4000000000000004"/>
    <n v="23.776666670000001"/>
    <n v="34.950000000000003"/>
    <n v="35"/>
    <n v="35"/>
    <n v="14.446581196581196"/>
  </r>
  <r>
    <x v="36"/>
    <x v="7"/>
    <x v="6"/>
    <n v="13"/>
    <n v="1404"/>
    <n v="15.908461539999999"/>
    <n v="108"/>
    <x v="12"/>
    <n v="3006"/>
    <n v="2"/>
    <n v="1000"/>
    <n v="4.2"/>
    <n v="91"/>
    <n v="22"/>
    <n v="8"/>
    <n v="4"/>
    <n v="11"/>
    <n v="2017"/>
    <n v="50"/>
    <n v="7632"/>
    <n v="133"/>
    <n v="4.2"/>
    <n v="19.916666670000001"/>
    <n v="108"/>
    <n v="4.2"/>
    <n v="15.908461539999999"/>
    <n v="174.43333329999999"/>
    <n v="3.8"/>
    <n v="20.992777780000001"/>
    <n v="107.95"/>
    <n v="108"/>
    <s v=""/>
    <n v="14.417910447761194"/>
  </r>
  <r>
    <x v="36"/>
    <x v="7"/>
    <x v="7"/>
    <n v="13"/>
    <n v="1404"/>
    <n v="16.65384615"/>
    <n v="108"/>
    <x v="12"/>
    <n v="3006"/>
    <n v="2"/>
    <n v="1000"/>
    <n v="4.2"/>
    <n v="73"/>
    <n v="21"/>
    <n v="10"/>
    <n v="1"/>
    <n v="12"/>
    <n v="2017"/>
    <n v="50"/>
    <n v="7632"/>
    <n v="149"/>
    <n v="4.2"/>
    <n v="19.100000000000001"/>
    <n v="108"/>
    <n v="4.2"/>
    <n v="16.65384615"/>
    <n v="185.96"/>
    <n v="3.8"/>
    <n v="18.686"/>
    <n v="108"/>
    <n v="108"/>
    <n v="108"/>
    <n v="14.414893617021276"/>
  </r>
  <r>
    <x v="36"/>
    <x v="7"/>
    <x v="8"/>
    <n v="44"/>
    <n v="4752"/>
    <n v="16.196363640000001"/>
    <n v="108"/>
    <x v="12"/>
    <n v="3006"/>
    <n v="2"/>
    <n v="1000"/>
    <n v="4.2"/>
    <n v="59"/>
    <n v="23"/>
    <n v="8"/>
    <n v="2"/>
    <n v="1"/>
    <n v="2018"/>
    <n v="22.110552760000001"/>
    <n v="7632"/>
    <n v="108"/>
    <n v="4.2"/>
    <n v="16.196363640000001"/>
    <n v="108"/>
    <n v="4.2"/>
    <n v="16.196363640000001"/>
    <n v="199"/>
    <n v="3.8"/>
    <n v="21.88"/>
    <n v="108"/>
    <n v="108"/>
    <n v="108"/>
    <n v="14.411889596602972"/>
  </r>
  <r>
    <x v="36"/>
    <x v="7"/>
    <x v="9"/>
    <n v="33"/>
    <n v="3564"/>
    <n v="18.253636360000002"/>
    <n v="108"/>
    <x v="12"/>
    <n v="3006"/>
    <n v="2"/>
    <n v="1000"/>
    <n v="4.2"/>
    <n v="90"/>
    <n v="20"/>
    <n v="8"/>
    <n v="2"/>
    <n v="2"/>
    <n v="2018"/>
    <n v="16.58291457"/>
    <n v="7632"/>
    <n v="128.2416667"/>
    <n v="4.2"/>
    <n v="15.926666669999999"/>
    <n v="108"/>
    <n v="4.2"/>
    <n v="18.253636360000002"/>
    <n v="182"/>
    <n v="3.8"/>
    <n v="19.329999999999998"/>
    <n v="108"/>
    <n v="108"/>
    <n v="108"/>
    <n v="14.474576271186441"/>
  </r>
  <r>
    <x v="36"/>
    <x v="7"/>
    <x v="10"/>
    <n v="21"/>
    <n v="2214"/>
    <n v="21.6652381"/>
    <n v="105.6428571"/>
    <x v="12"/>
    <n v="3006"/>
    <n v="2"/>
    <n v="1000"/>
    <n v="4.2"/>
    <n v="125"/>
    <n v="22"/>
    <n v="9"/>
    <n v="1"/>
    <n v="3"/>
    <n v="2018"/>
    <n v="10.552763819999999"/>
    <n v="7632"/>
    <n v="117.44129030000001"/>
    <n v="4.2"/>
    <n v="18.261290320000001"/>
    <n v="105.6428571"/>
    <n v="4.2"/>
    <n v="21.6652381"/>
    <n v="151.87843749999999"/>
    <n v="3.8"/>
    <n v="20.313749999999999"/>
    <n v="108"/>
    <n v="105.42857142857143"/>
    <n v="108"/>
    <n v="14.513742071881607"/>
  </r>
  <r>
    <x v="36"/>
    <x v="7"/>
    <x v="11"/>
    <n v="21"/>
    <n v="2205"/>
    <n v="13.631428570000001"/>
    <n v="105"/>
    <x v="12"/>
    <n v="3006"/>
    <n v="2"/>
    <n v="1000"/>
    <n v="4.2"/>
    <n v="178"/>
    <n v="21"/>
    <n v="9"/>
    <n v="1"/>
    <n v="4"/>
    <n v="2018"/>
    <n v="10.552763819999999"/>
    <n v="7632"/>
    <n v="105.648625"/>
    <n v="4.2"/>
    <n v="2.1816470589999999"/>
    <n v="105"/>
    <n v="4.2"/>
    <n v="13.631428570000001"/>
    <n v="150.1333333"/>
    <n v="3.8"/>
    <n v="19.447777779999999"/>
    <n v="105.6428571"/>
    <n v="105"/>
    <n v="105.42857142857143"/>
    <n v="14.527426160337553"/>
  </r>
  <r>
    <x v="36"/>
    <x v="7"/>
    <x v="12"/>
    <n v="37"/>
    <n v="3885"/>
    <n v="11.3772973"/>
    <n v="105"/>
    <x v="12"/>
    <n v="3006"/>
    <n v="2"/>
    <n v="1000"/>
    <n v="4.2"/>
    <n v="260"/>
    <n v="23"/>
    <n v="8"/>
    <n v="3"/>
    <n v="5"/>
    <n v="2018"/>
    <n v="18.592964819999999"/>
    <n v="7632"/>
    <n v="103.79252339999999"/>
    <n v="4.2"/>
    <n v="9.5438596000000001E-2"/>
    <n v="105"/>
    <n v="4.2"/>
    <n v="11.3772973"/>
    <n v="132.53125"/>
    <n v="3.8"/>
    <n v="15.7621875"/>
    <n v="105"/>
    <n v="105"/>
    <n v="105"/>
    <n v="14.541052631578948"/>
  </r>
  <r>
    <x v="36"/>
    <x v="7"/>
    <x v="13"/>
    <n v="28"/>
    <n v="2940"/>
    <n v="23.823571430000001"/>
    <n v="105"/>
    <x v="12"/>
    <n v="3006"/>
    <n v="2"/>
    <n v="1000"/>
    <n v="4.2"/>
    <n v="93"/>
    <n v="21"/>
    <n v="9"/>
    <n v="0"/>
    <n v="6"/>
    <n v="2018"/>
    <n v="14.070351759999999"/>
    <n v="7632"/>
    <n v="119"/>
    <n v="4.2"/>
    <n v="19.206666670000001"/>
    <n v="105"/>
    <n v="4.2"/>
    <n v="23.823571430000001"/>
    <n v="138.22"/>
    <n v="3.8"/>
    <n v="16.108000000000001"/>
    <n v="105"/>
    <n v="105"/>
    <n v="105"/>
    <n v="14.588235294117647"/>
  </r>
  <r>
    <x v="36"/>
    <x v="7"/>
    <x v="14"/>
    <n v="8"/>
    <n v="840"/>
    <n v="24.938749999999999"/>
    <n v="105"/>
    <x v="12"/>
    <n v="3006"/>
    <n v="2"/>
    <n v="1000"/>
    <n v="4.2"/>
    <n v="122"/>
    <n v="22"/>
    <n v="9"/>
    <n v="1"/>
    <n v="7"/>
    <n v="2018"/>
    <n v="4.0201005030000001"/>
    <n v="7632"/>
    <n v="118.3636364"/>
    <n v="4.2"/>
    <n v="15.48"/>
    <n v="105"/>
    <n v="4.2"/>
    <n v="24.938749999999999"/>
    <n v="155"/>
    <n v="3.8"/>
    <n v="16.47"/>
    <n v="105"/>
    <n v="105"/>
    <n v="105"/>
    <n v="14.616352201257861"/>
  </r>
  <r>
    <x v="36"/>
    <x v="7"/>
    <x v="15"/>
    <n v="7"/>
    <n v="735"/>
    <n v="23.385714289999999"/>
    <n v="105"/>
    <x v="12"/>
    <n v="3006"/>
    <n v="2"/>
    <n v="1000"/>
    <n v="4.2"/>
    <n v="61"/>
    <n v="23"/>
    <n v="8"/>
    <n v="1"/>
    <n v="8"/>
    <n v="2018"/>
    <n v="3.5175879399999999"/>
    <n v="7632"/>
    <n v="112"/>
    <n v="4.2"/>
    <n v="13.44"/>
    <n v="105"/>
    <n v="4.2"/>
    <n v="23.385714289999999"/>
    <n v="145.55090910000001"/>
    <n v="3.8"/>
    <n v="21.897272730000001"/>
    <n v="105"/>
    <n v="105"/>
    <n v="105"/>
    <n v="14.602510460251047"/>
  </r>
  <r>
    <x v="37"/>
    <x v="7"/>
    <x v="16"/>
    <n v="1"/>
    <n v="78"/>
    <n v="17.98"/>
    <n v="78"/>
    <x v="8"/>
    <n v="319"/>
    <n v="4"/>
    <n v="250"/>
    <n v="3.9"/>
    <n v="6"/>
    <n v="23"/>
    <n v="8"/>
    <n v="1"/>
    <n v="3"/>
    <n v="2017"/>
    <n v="2.7406646110000001"/>
    <n v="640"/>
    <n v="78"/>
    <n v="3.9"/>
    <n v="17.98"/>
    <n v="78"/>
    <n v="3.9"/>
    <n v="17.98"/>
    <n v="241.006"/>
    <n v="3.8"/>
    <n v="21.318000000000001"/>
    <n v="77.95"/>
    <n v="78"/>
    <s v=""/>
    <n v="14.586638830897703"/>
  </r>
  <r>
    <x v="37"/>
    <x v="7"/>
    <x v="1"/>
    <n v="3"/>
    <n v="234"/>
    <n v="10.3"/>
    <n v="78"/>
    <x v="8"/>
    <n v="319"/>
    <n v="4"/>
    <n v="250"/>
    <n v="3.9"/>
    <n v="17"/>
    <n v="22"/>
    <n v="8"/>
    <n v="1"/>
    <n v="6"/>
    <n v="2017"/>
    <n v="21.17163412"/>
    <n v="640"/>
    <n v="163"/>
    <n v="4.2"/>
    <n v="14.265000000000001"/>
    <n v="78"/>
    <n v="3.9"/>
    <n v="10.3"/>
    <n v="185"/>
    <n v="3.8"/>
    <n v="14.74"/>
    <n v="77.95"/>
    <n v="78"/>
    <n v="78"/>
    <n v="14.558333333333334"/>
  </r>
  <r>
    <x v="37"/>
    <x v="7"/>
    <x v="2"/>
    <n v="1"/>
    <n v="78"/>
    <n v="14.3"/>
    <n v="78"/>
    <x v="8"/>
    <n v="319"/>
    <n v="4"/>
    <n v="250"/>
    <n v="3.9"/>
    <n v="29"/>
    <n v="21"/>
    <n v="10"/>
    <n v="1"/>
    <n v="7"/>
    <n v="2017"/>
    <n v="16.76944159"/>
    <n v="640"/>
    <n v="161.5909091"/>
    <n v="4.2"/>
    <n v="15.525454549999999"/>
    <n v="78"/>
    <n v="3.9"/>
    <n v="14.3"/>
    <n v="197.38300000000001"/>
    <n v="3.8"/>
    <n v="16.606000000000002"/>
    <n v="78"/>
    <n v="78"/>
    <n v="78"/>
    <n v="14.534303534303534"/>
  </r>
  <r>
    <x v="37"/>
    <x v="7"/>
    <x v="3"/>
    <n v="5"/>
    <n v="390"/>
    <n v="18.22"/>
    <n v="78"/>
    <x v="8"/>
    <n v="319"/>
    <n v="4"/>
    <n v="250"/>
    <n v="3.9"/>
    <n v="48"/>
    <n v="23"/>
    <n v="8"/>
    <n v="1"/>
    <n v="8"/>
    <n v="2017"/>
    <n v="21.976704349999999"/>
    <n v="640"/>
    <n v="160.66923080000001"/>
    <n v="4.2"/>
    <n v="15.185384620000001"/>
    <n v="78"/>
    <n v="3.9"/>
    <n v="18.22"/>
    <n v="179.9"/>
    <n v="3.8"/>
    <n v="14.926666669999999"/>
    <n v="78"/>
    <n v="78"/>
    <n v="78"/>
    <n v="14.506224066390041"/>
  </r>
  <r>
    <x v="37"/>
    <x v="7"/>
    <x v="5"/>
    <n v="3"/>
    <n v="234"/>
    <n v="12.133333329999999"/>
    <n v="78"/>
    <x v="8"/>
    <n v="319"/>
    <n v="4"/>
    <n v="250"/>
    <n v="3.9"/>
    <n v="43"/>
    <n v="22"/>
    <n v="9"/>
    <n v="2"/>
    <n v="10"/>
    <n v="2017"/>
    <n v="14.28571429"/>
    <n v="640"/>
    <n v="134.9"/>
    <n v="4.2"/>
    <n v="6.81"/>
    <n v="78"/>
    <n v="3.9"/>
    <n v="12.133333329999999"/>
    <n v="232.49"/>
    <n v="3.8"/>
    <n v="14.2125"/>
    <n v="77.95"/>
    <n v="78"/>
    <n v="78"/>
    <n v="14.486542443064183"/>
  </r>
  <r>
    <x v="37"/>
    <x v="7"/>
    <x v="6"/>
    <n v="2"/>
    <n v="156"/>
    <n v="7.8"/>
    <n v="78"/>
    <x v="8"/>
    <n v="319"/>
    <n v="4"/>
    <n v="250"/>
    <n v="3.9"/>
    <n v="91"/>
    <n v="22"/>
    <n v="8"/>
    <n v="4"/>
    <n v="11"/>
    <n v="2017"/>
    <n v="9.5238095240000007"/>
    <n v="640"/>
    <n v="133"/>
    <n v="4.2"/>
    <n v="19.916666670000001"/>
    <n v="108"/>
    <n v="4.2"/>
    <n v="15.908461539999999"/>
    <n v="174.43333329999999"/>
    <n v="3.8"/>
    <n v="20.992777780000001"/>
    <n v="78"/>
    <n v="78"/>
    <n v="78"/>
    <n v="14.462809917355372"/>
  </r>
  <r>
    <x v="37"/>
    <x v="7"/>
    <x v="7"/>
    <n v="6"/>
    <n v="468"/>
    <n v="19.69166667"/>
    <n v="78"/>
    <x v="8"/>
    <n v="319"/>
    <n v="4"/>
    <n v="250"/>
    <n v="3.9"/>
    <n v="73"/>
    <n v="21"/>
    <n v="10"/>
    <n v="1"/>
    <n v="12"/>
    <n v="2017"/>
    <n v="28.571428569999998"/>
    <n v="640"/>
    <n v="149"/>
    <n v="4.2"/>
    <n v="19.100000000000001"/>
    <n v="108"/>
    <n v="4.2"/>
    <n v="16.65384615"/>
    <n v="185.96"/>
    <n v="3.8"/>
    <n v="18.686"/>
    <n v="78"/>
    <n v="78"/>
    <n v="78"/>
    <n v="14.437113402061856"/>
  </r>
  <r>
    <x v="37"/>
    <x v="7"/>
    <x v="8"/>
    <n v="9"/>
    <n v="702"/>
    <n v="14.633333329999999"/>
    <n v="78"/>
    <x v="8"/>
    <n v="319"/>
    <n v="4"/>
    <n v="250"/>
    <n v="3.9"/>
    <n v="59"/>
    <n v="23"/>
    <n v="8"/>
    <n v="2"/>
    <n v="1"/>
    <n v="2018"/>
    <n v="6.4748201439999997"/>
    <n v="640"/>
    <n v="78"/>
    <n v="3.9"/>
    <n v="14.633333329999999"/>
    <n v="108"/>
    <n v="4.2"/>
    <n v="16.196363640000001"/>
    <n v="199"/>
    <n v="3.8"/>
    <n v="21.88"/>
    <n v="78"/>
    <n v="78"/>
    <n v="78"/>
    <n v="14.419753086419753"/>
  </r>
  <r>
    <x v="37"/>
    <x v="7"/>
    <x v="9"/>
    <n v="1"/>
    <n v="78"/>
    <n v="15.3"/>
    <n v="78"/>
    <x v="8"/>
    <n v="319"/>
    <n v="4"/>
    <n v="250"/>
    <n v="3.9"/>
    <n v="90"/>
    <n v="20"/>
    <n v="8"/>
    <n v="2"/>
    <n v="2"/>
    <n v="2018"/>
    <n v="0.71942446000000004"/>
    <n v="640"/>
    <n v="128.2416667"/>
    <n v="4.2"/>
    <n v="15.926666669999999"/>
    <n v="108"/>
    <n v="4.2"/>
    <n v="18.253636360000002"/>
    <n v="182"/>
    <n v="3.8"/>
    <n v="19.329999999999998"/>
    <n v="78"/>
    <n v="78"/>
    <n v="78"/>
    <n v="14.408624229979466"/>
  </r>
  <r>
    <x v="37"/>
    <x v="7"/>
    <x v="10"/>
    <n v="1"/>
    <n v="78"/>
    <n v="19.239999999999998"/>
    <n v="78"/>
    <x v="8"/>
    <n v="319"/>
    <n v="4"/>
    <n v="250"/>
    <n v="3.9"/>
    <n v="125"/>
    <n v="22"/>
    <n v="9"/>
    <n v="1"/>
    <n v="3"/>
    <n v="2018"/>
    <n v="2.7406646110000001"/>
    <n v="640"/>
    <n v="117.44129030000001"/>
    <n v="4.2"/>
    <n v="18.261290320000001"/>
    <n v="105.6428571"/>
    <n v="4.2"/>
    <n v="21.6652381"/>
    <n v="151.87843749999999"/>
    <n v="3.8"/>
    <n v="20.313749999999999"/>
    <n v="78"/>
    <n v="78"/>
    <n v="78"/>
    <n v="14.381147540983607"/>
  </r>
  <r>
    <x v="37"/>
    <x v="7"/>
    <x v="11"/>
    <n v="16"/>
    <n v="1248"/>
    <n v="16.645624999999999"/>
    <n v="78"/>
    <x v="8"/>
    <n v="319"/>
    <n v="4"/>
    <n v="250"/>
    <n v="3.9"/>
    <n v="178"/>
    <n v="21"/>
    <n v="9"/>
    <n v="1"/>
    <n v="4"/>
    <n v="2018"/>
    <n v="11.51079137"/>
    <n v="640"/>
    <n v="105.648625"/>
    <n v="4.2"/>
    <n v="2.1816470589999999"/>
    <n v="105"/>
    <n v="4.2"/>
    <n v="13.631428570000001"/>
    <n v="150.1333333"/>
    <n v="3.8"/>
    <n v="19.447777779999999"/>
    <n v="78"/>
    <n v="78"/>
    <n v="78"/>
    <n v="14.353783231083845"/>
  </r>
  <r>
    <x v="37"/>
    <x v="7"/>
    <x v="12"/>
    <n v="5"/>
    <n v="390"/>
    <n v="10.24"/>
    <n v="78"/>
    <x v="8"/>
    <n v="319"/>
    <n v="4"/>
    <n v="250"/>
    <n v="3.9"/>
    <n v="260"/>
    <n v="23"/>
    <n v="8"/>
    <n v="3"/>
    <n v="5"/>
    <n v="2018"/>
    <n v="3.5971223019999998"/>
    <n v="640"/>
    <n v="103.79252339999999"/>
    <n v="4.2"/>
    <n v="9.5438596000000001E-2"/>
    <n v="105"/>
    <n v="4.2"/>
    <n v="11.3772973"/>
    <n v="132.53125"/>
    <n v="3.8"/>
    <n v="15.7621875"/>
    <n v="78"/>
    <n v="78"/>
    <n v="78"/>
    <n v="14.357142857142858"/>
  </r>
  <r>
    <x v="37"/>
    <x v="7"/>
    <x v="13"/>
    <n v="39"/>
    <n v="3042"/>
    <n v="15.6825641"/>
    <n v="78"/>
    <x v="8"/>
    <n v="319"/>
    <n v="4"/>
    <n v="250"/>
    <n v="3.9"/>
    <n v="93"/>
    <n v="21"/>
    <n v="9"/>
    <n v="0"/>
    <n v="6"/>
    <n v="2018"/>
    <n v="21.17163412"/>
    <n v="640"/>
    <n v="119"/>
    <n v="4.2"/>
    <n v="19.206666670000001"/>
    <n v="105"/>
    <n v="4.2"/>
    <n v="23.823571430000001"/>
    <n v="138.22"/>
    <n v="3.8"/>
    <n v="16.108000000000001"/>
    <n v="78"/>
    <n v="78"/>
    <n v="78"/>
    <n v="14.338085539714868"/>
  </r>
  <r>
    <x v="37"/>
    <x v="7"/>
    <x v="14"/>
    <n v="40"/>
    <n v="3120"/>
    <n v="17.979500000000002"/>
    <n v="78"/>
    <x v="8"/>
    <n v="319"/>
    <n v="4"/>
    <n v="250"/>
    <n v="3.9"/>
    <n v="122"/>
    <n v="22"/>
    <n v="9"/>
    <n v="1"/>
    <n v="7"/>
    <n v="2018"/>
    <n v="16.76944159"/>
    <n v="640"/>
    <n v="118.3636364"/>
    <n v="4.2"/>
    <n v="15.48"/>
    <n v="105"/>
    <n v="4.2"/>
    <n v="24.938749999999999"/>
    <n v="155"/>
    <n v="3.8"/>
    <n v="16.47"/>
    <n v="78"/>
    <n v="78"/>
    <n v="78"/>
    <n v="14.388211382113822"/>
  </r>
  <r>
    <x v="37"/>
    <x v="7"/>
    <x v="15"/>
    <n v="28"/>
    <n v="2179"/>
    <n v="13.09035714"/>
    <n v="77.821428569999995"/>
    <x v="8"/>
    <n v="319"/>
    <n v="4"/>
    <n v="250"/>
    <n v="3.9"/>
    <n v="61"/>
    <n v="23"/>
    <n v="8"/>
    <n v="1"/>
    <n v="8"/>
    <n v="2018"/>
    <n v="21.976704349999999"/>
    <n v="640"/>
    <n v="112"/>
    <n v="4.2"/>
    <n v="13.44"/>
    <n v="105"/>
    <n v="4.2"/>
    <n v="23.385714289999999"/>
    <n v="145.55090910000001"/>
    <n v="3.8"/>
    <n v="21.897272730000001"/>
    <n v="78"/>
    <n v="77.821428571428569"/>
    <n v="78"/>
    <n v="14.440162271805274"/>
  </r>
  <r>
    <x v="38"/>
    <x v="8"/>
    <x v="2"/>
    <n v="5"/>
    <n v="375"/>
    <n v="15.856"/>
    <n v="75"/>
    <x v="20"/>
    <n v="903"/>
    <n v="6"/>
    <n v="2600"/>
    <n v="4.0999999999999996"/>
    <n v="5"/>
    <n v="21"/>
    <n v="10"/>
    <n v="1"/>
    <n v="7"/>
    <n v="2017"/>
    <n v="2.4351132070000001"/>
    <n v="15000"/>
    <n v="75"/>
    <n v="4.0999999999999996"/>
    <n v="15.856"/>
    <n v="38.4"/>
    <n v="3.7"/>
    <n v="7.78"/>
    <n v="75"/>
    <n v="4.0999999999999996"/>
    <n v="15.856"/>
    <n v="74.95"/>
    <n v="75"/>
    <s v=""/>
    <n v="14.467611336032389"/>
  </r>
  <r>
    <x v="38"/>
    <x v="8"/>
    <x v="3"/>
    <n v="13"/>
    <n v="975"/>
    <n v="15.376923079999999"/>
    <n v="75"/>
    <x v="20"/>
    <n v="903"/>
    <n v="6"/>
    <n v="2600"/>
    <n v="4.0999999999999996"/>
    <n v="14"/>
    <n v="23"/>
    <n v="8"/>
    <n v="1"/>
    <n v="8"/>
    <n v="2017"/>
    <n v="6.0649505120000002"/>
    <n v="15000"/>
    <n v="75"/>
    <n v="4.0999999999999996"/>
    <n v="15.376923079999999"/>
    <n v="38.4"/>
    <n v="3.7"/>
    <n v="12.105"/>
    <n v="75"/>
    <n v="4.0999999999999996"/>
    <n v="15.376923079999999"/>
    <n v="75"/>
    <n v="75"/>
    <n v="75"/>
    <n v="14.448484848484849"/>
  </r>
  <r>
    <x v="38"/>
    <x v="8"/>
    <x v="5"/>
    <n v="5"/>
    <n v="375"/>
    <n v="13.64"/>
    <n v="75"/>
    <x v="20"/>
    <n v="903"/>
    <n v="6"/>
    <n v="2600"/>
    <n v="4.0999999999999996"/>
    <n v="17"/>
    <n v="22"/>
    <n v="9"/>
    <n v="2"/>
    <n v="10"/>
    <n v="2017"/>
    <n v="4.3859649120000004"/>
    <n v="15000"/>
    <n v="75"/>
    <n v="4.0999999999999996"/>
    <n v="13.64"/>
    <n v="38.4"/>
    <n v="3.7"/>
    <n v="13.98"/>
    <n v="75"/>
    <n v="4.0999999999999996"/>
    <n v="13.64"/>
    <n v="74.95"/>
    <n v="75"/>
    <n v="75"/>
    <n v="14.445564516129032"/>
  </r>
  <r>
    <x v="38"/>
    <x v="8"/>
    <x v="6"/>
    <n v="44"/>
    <n v="3300"/>
    <n v="16.13272727"/>
    <n v="75"/>
    <x v="20"/>
    <n v="903"/>
    <n v="6"/>
    <n v="2600"/>
    <n v="4.0999999999999996"/>
    <n v="64"/>
    <n v="22"/>
    <n v="8"/>
    <n v="4"/>
    <n v="11"/>
    <n v="2017"/>
    <n v="38.596491229999998"/>
    <n v="15000"/>
    <n v="75"/>
    <n v="4.0999999999999996"/>
    <n v="16.13272727"/>
    <n v="36.854285709999999"/>
    <n v="3.7"/>
    <n v="13.65214286"/>
    <n v="99.9"/>
    <n v="4.4000000000000004"/>
    <n v="21.19"/>
    <n v="75"/>
    <n v="75"/>
    <n v="75"/>
    <n v="14.426559356136821"/>
  </r>
  <r>
    <x v="38"/>
    <x v="8"/>
    <x v="7"/>
    <n v="47"/>
    <n v="3525"/>
    <n v="17.446382979999999"/>
    <n v="75"/>
    <x v="20"/>
    <n v="903"/>
    <n v="6"/>
    <n v="2600"/>
    <n v="4.0999999999999996"/>
    <n v="40"/>
    <n v="21"/>
    <n v="10"/>
    <n v="1"/>
    <n v="12"/>
    <n v="2017"/>
    <n v="41.228070180000003"/>
    <n v="15000"/>
    <n v="75"/>
    <n v="4.0999999999999996"/>
    <n v="17.446382979999999"/>
    <n v="75"/>
    <n v="4.0999999999999996"/>
    <n v="17.446382979999999"/>
    <n v="99.9"/>
    <n v="4.4000000000000004"/>
    <n v="20.646666669999998"/>
    <n v="75"/>
    <n v="75"/>
    <n v="75"/>
    <n v="14.485943775100402"/>
  </r>
  <r>
    <x v="38"/>
    <x v="8"/>
    <x v="8"/>
    <n v="122"/>
    <n v="8538"/>
    <n v="17.663114749999998"/>
    <n v="69.995327099999997"/>
    <x v="20"/>
    <n v="903"/>
    <n v="6"/>
    <n v="2600"/>
    <n v="4.0999999999999996"/>
    <n v="125"/>
    <n v="23"/>
    <n v="8"/>
    <n v="2"/>
    <n v="1"/>
    <n v="2018"/>
    <n v="29.539951569999999"/>
    <n v="15000"/>
    <n v="69.995327099999997"/>
    <n v="4.0999999999999996"/>
    <n v="17.663114749999998"/>
    <n v="38.4"/>
    <n v="3.7"/>
    <n v="9.34"/>
    <n v="99.9"/>
    <n v="4.4000000000000004"/>
    <n v="22.819230770000001"/>
    <n v="75"/>
    <n v="69.983606557377044"/>
    <n v="75"/>
    <n v="14.551102204408817"/>
  </r>
  <r>
    <x v="38"/>
    <x v="8"/>
    <x v="9"/>
    <n v="44"/>
    <n v="3075.6"/>
    <n v="16.115909089999999"/>
    <n v="69.900000000000006"/>
    <x v="20"/>
    <n v="903"/>
    <n v="6"/>
    <n v="2600"/>
    <n v="4.0999999999999996"/>
    <n v="52"/>
    <n v="20"/>
    <n v="8"/>
    <n v="2"/>
    <n v="2"/>
    <n v="2018"/>
    <n v="10.653753030000001"/>
    <n v="15000"/>
    <n v="69.900000000000006"/>
    <n v="4.0999999999999996"/>
    <n v="16.115909089999999"/>
    <n v="38.4"/>
    <n v="3.7"/>
    <n v="18.685555560000001"/>
    <n v="99.9"/>
    <n v="4.4000000000000004"/>
    <n v="28.89076923"/>
    <n v="69.995327099999997"/>
    <n v="69.899999999999991"/>
    <n v="69.983606557377044"/>
    <n v="14.766"/>
  </r>
  <r>
    <x v="38"/>
    <x v="8"/>
    <x v="10"/>
    <n v="65"/>
    <n v="4543.5"/>
    <n v="18.425076919999999"/>
    <n v="69.900000000000006"/>
    <x v="20"/>
    <n v="903"/>
    <n v="6"/>
    <n v="2600"/>
    <n v="4.0999999999999996"/>
    <n v="83"/>
    <n v="22"/>
    <n v="9"/>
    <n v="1"/>
    <n v="3"/>
    <n v="2018"/>
    <n v="15.73849879"/>
    <n v="15000"/>
    <n v="69.900000000000006"/>
    <n v="4.0999999999999996"/>
    <n v="18.425076919999999"/>
    <n v="35.485714289999997"/>
    <n v="3.7"/>
    <n v="15.44823529"/>
    <n v="99.9"/>
    <n v="4.4000000000000004"/>
    <n v="22.145833329999999"/>
    <n v="69.900000000000006"/>
    <n v="69.900000000000006"/>
    <n v="69.899999999999991"/>
    <n v="14.82435129740519"/>
  </r>
  <r>
    <x v="38"/>
    <x v="8"/>
    <x v="11"/>
    <n v="83"/>
    <n v="5801.7"/>
    <n v="9.0715662649999995"/>
    <n v="69.900000000000006"/>
    <x v="20"/>
    <n v="903"/>
    <n v="6"/>
    <n v="2600"/>
    <n v="4.0999999999999996"/>
    <n v="92"/>
    <n v="21"/>
    <n v="9"/>
    <n v="1"/>
    <n v="4"/>
    <n v="2018"/>
    <n v="20.096852299999998"/>
    <n v="15000"/>
    <n v="69.900000000000006"/>
    <n v="4.0999999999999996"/>
    <n v="9.0715662649999995"/>
    <n v="35"/>
    <n v="3.7"/>
    <n v="13.46941176"/>
    <n v="99.9"/>
    <n v="4.4000000000000004"/>
    <n v="23.32769231"/>
    <n v="69.900000000000006"/>
    <n v="69.899999999999991"/>
    <n v="69.900000000000006"/>
    <n v="14.924302788844621"/>
  </r>
  <r>
    <x v="38"/>
    <x v="8"/>
    <x v="12"/>
    <n v="92"/>
    <n v="6430.8"/>
    <n v="3.8016304349999999"/>
    <n v="69.900000000000006"/>
    <x v="20"/>
    <n v="903"/>
    <n v="6"/>
    <n v="2600"/>
    <n v="4.0999999999999996"/>
    <n v="95"/>
    <n v="23"/>
    <n v="8"/>
    <n v="3"/>
    <n v="5"/>
    <n v="2018"/>
    <n v="22.276029059999999"/>
    <n v="15000"/>
    <n v="69.900000000000006"/>
    <n v="4.0999999999999996"/>
    <n v="3.8016304349999999"/>
    <n v="35"/>
    <n v="3.7"/>
    <n v="14.634545449999999"/>
    <n v="99.9"/>
    <n v="4.4000000000000004"/>
    <n v="19.41076923"/>
    <n v="69.900000000000006"/>
    <n v="69.900000000000006"/>
    <n v="69.899999999999991"/>
    <n v="15.059642147117296"/>
  </r>
  <r>
    <x v="38"/>
    <x v="8"/>
    <x v="13"/>
    <n v="2"/>
    <n v="179.8"/>
    <n v="21.93"/>
    <n v="89.9"/>
    <x v="20"/>
    <n v="903"/>
    <n v="6"/>
    <n v="2600"/>
    <n v="4.0999999999999996"/>
    <n v="18"/>
    <n v="21"/>
    <n v="9"/>
    <n v="0"/>
    <n v="6"/>
    <n v="2018"/>
    <n v="0.48426150099999998"/>
    <n v="15000"/>
    <n v="89.9"/>
    <n v="4.0999999999999996"/>
    <n v="21.93"/>
    <n v="35"/>
    <n v="3.7"/>
    <n v="18.10153846"/>
    <n v="99.9"/>
    <n v="4.4000000000000004"/>
    <n v="25.635999999999999"/>
    <n v="69.900000000000006"/>
    <n v="89.9"/>
    <n v="69.900000000000006"/>
    <n v="15.212301587301587"/>
  </r>
  <r>
    <x v="38"/>
    <x v="8"/>
    <x v="14"/>
    <n v="2"/>
    <n v="179.8"/>
    <n v="29.79"/>
    <n v="89.9"/>
    <x v="20"/>
    <n v="903"/>
    <n v="6"/>
    <n v="2600"/>
    <n v="4.0999999999999996"/>
    <n v="22"/>
    <n v="22"/>
    <n v="9"/>
    <n v="1"/>
    <n v="7"/>
    <n v="2018"/>
    <n v="2.4351132070000001"/>
    <n v="15000"/>
    <n v="89.9"/>
    <n v="4.0999999999999996"/>
    <n v="29.79"/>
    <n v="35"/>
    <n v="3.7"/>
    <n v="17.238"/>
    <n v="78.535714290000001"/>
    <n v="4.4000000000000004"/>
    <n v="23.847142860000002"/>
    <n v="89.9"/>
    <n v="89.9"/>
    <n v="89.9"/>
    <n v="15.186138613861386"/>
  </r>
  <r>
    <x v="38"/>
    <x v="8"/>
    <x v="15"/>
    <n v="3"/>
    <n v="309.7"/>
    <n v="22.3"/>
    <n v="103.2333333"/>
    <x v="20"/>
    <n v="903"/>
    <n v="6"/>
    <n v="2600"/>
    <n v="4.0999999999999996"/>
    <n v="19"/>
    <n v="23"/>
    <n v="8"/>
    <n v="1"/>
    <n v="8"/>
    <n v="2018"/>
    <n v="6.0649505120000002"/>
    <n v="15000"/>
    <n v="103.2333333"/>
    <n v="4.0999999999999996"/>
    <n v="22.3"/>
    <n v="35"/>
    <n v="3.7"/>
    <n v="15.628125000000001"/>
    <n v="83.833333330000002"/>
    <n v="4.4000000000000004"/>
    <n v="23.776666670000001"/>
    <n v="89.9"/>
    <n v="103.23333333333333"/>
    <n v="89.9"/>
    <n v="15.160079051383399"/>
  </r>
  <r>
    <x v="39"/>
    <x v="1"/>
    <x v="17"/>
    <n v="5"/>
    <n v="299.5"/>
    <n v="18.652000000000001"/>
    <n v="59.9"/>
    <x v="8"/>
    <n v="341"/>
    <n v="2"/>
    <n v="1850"/>
    <n v="4.3"/>
    <n v="17"/>
    <n v="20"/>
    <n v="10"/>
    <n v="2"/>
    <n v="4"/>
    <n v="2017"/>
    <n v="6.5938511330000003"/>
    <n v="32560"/>
    <n v="59.9"/>
    <n v="4.3"/>
    <n v="18.652000000000001"/>
    <n v="59.9"/>
    <n v="4.3"/>
    <n v="18.652000000000001"/>
    <n v="59.9"/>
    <n v="4.3"/>
    <n v="18.652000000000001"/>
    <n v="59.85"/>
    <n v="59.9"/>
    <s v=""/>
    <n v="15.136094674556213"/>
  </r>
  <r>
    <x v="39"/>
    <x v="1"/>
    <x v="0"/>
    <n v="2"/>
    <n v="119.8"/>
    <n v="17.670000000000002"/>
    <n v="59.9"/>
    <x v="8"/>
    <n v="341"/>
    <n v="2"/>
    <n v="1850"/>
    <n v="4.3"/>
    <n v="34"/>
    <n v="23"/>
    <n v="8"/>
    <n v="1"/>
    <n v="5"/>
    <n v="2017"/>
    <n v="9.3042071199999992"/>
    <n v="32560"/>
    <n v="59.9"/>
    <n v="4.0999999999999996"/>
    <n v="19.732500000000002"/>
    <n v="59.9"/>
    <n v="4.2"/>
    <n v="26.24666667"/>
    <n v="59.9"/>
    <n v="4.3"/>
    <n v="17.670000000000002"/>
    <n v="59.9"/>
    <n v="59.9"/>
    <n v="59.9"/>
    <n v="15.116141732283465"/>
  </r>
  <r>
    <x v="39"/>
    <x v="1"/>
    <x v="1"/>
    <n v="5"/>
    <n v="299.5"/>
    <n v="15.978"/>
    <n v="59.9"/>
    <x v="8"/>
    <n v="341"/>
    <n v="2"/>
    <n v="1850"/>
    <n v="4.3"/>
    <n v="26"/>
    <n v="22"/>
    <n v="8"/>
    <n v="1"/>
    <n v="6"/>
    <n v="2017"/>
    <n v="12.843851129999999"/>
    <n v="32560"/>
    <n v="59.9"/>
    <n v="4.0999999999999996"/>
    <n v="17.670000000000002"/>
    <n v="59.9"/>
    <n v="4.2"/>
    <n v="16.260000000000002"/>
    <n v="59.9"/>
    <n v="4.3"/>
    <n v="15.978"/>
    <n v="59.9"/>
    <n v="59.9"/>
    <n v="59.9"/>
    <n v="15.090373280943025"/>
  </r>
  <r>
    <x v="39"/>
    <x v="1"/>
    <x v="2"/>
    <n v="15"/>
    <n v="898.5"/>
    <n v="17.878666670000001"/>
    <n v="59.9"/>
    <x v="8"/>
    <n v="341"/>
    <n v="2"/>
    <n v="1850"/>
    <n v="4.3"/>
    <n v="74"/>
    <n v="21"/>
    <n v="10"/>
    <n v="1"/>
    <n v="7"/>
    <n v="2017"/>
    <n v="13.5315534"/>
    <n v="32560"/>
    <n v="59.9"/>
    <n v="4.0999999999999996"/>
    <n v="16.626428570000002"/>
    <n v="59.9"/>
    <n v="4.2"/>
    <n v="16.111578949999998"/>
    <n v="59.9"/>
    <n v="4.0999999999999996"/>
    <n v="15.392307690000001"/>
    <n v="59.9"/>
    <n v="59.9"/>
    <n v="59.9"/>
    <n v="15.070588235294117"/>
  </r>
  <r>
    <x v="39"/>
    <x v="1"/>
    <x v="3"/>
    <n v="19"/>
    <n v="1138.0999999999999"/>
    <n v="16.111578949999998"/>
    <n v="59.9"/>
    <x v="8"/>
    <n v="341"/>
    <n v="2"/>
    <n v="1850"/>
    <n v="4.3"/>
    <n v="113"/>
    <n v="23"/>
    <n v="8"/>
    <n v="1"/>
    <n v="8"/>
    <n v="2017"/>
    <n v="15.47330097"/>
    <n v="32560"/>
    <n v="59.9"/>
    <n v="4.0999999999999996"/>
    <n v="18.162307689999999"/>
    <n v="59.9"/>
    <n v="4.2"/>
    <n v="17.68111111"/>
    <n v="59.9"/>
    <n v="4.0999999999999996"/>
    <n v="18.05043478"/>
    <n v="59.9"/>
    <n v="59.9"/>
    <n v="59.9"/>
    <n v="15.070450097847358"/>
  </r>
  <r>
    <x v="39"/>
    <x v="1"/>
    <x v="4"/>
    <n v="34"/>
    <n v="2036.6"/>
    <n v="19.711764710000001"/>
    <n v="59.9"/>
    <x v="8"/>
    <n v="341"/>
    <n v="2"/>
    <n v="1850"/>
    <n v="4.3"/>
    <n v="115"/>
    <n v="21"/>
    <n v="9"/>
    <n v="1"/>
    <n v="9"/>
    <n v="2017"/>
    <n v="33.009708740000001"/>
    <n v="32560"/>
    <n v="59.9"/>
    <n v="4.0999999999999996"/>
    <n v="17.187027029999999"/>
    <n v="59.9"/>
    <n v="4.2"/>
    <n v="16.811764709999999"/>
    <n v="59.9"/>
    <n v="4.0999999999999996"/>
    <n v="16.29461538"/>
    <n v="59.9"/>
    <n v="59.9"/>
    <n v="59.9"/>
    <n v="15.078125"/>
  </r>
  <r>
    <x v="39"/>
    <x v="1"/>
    <x v="5"/>
    <n v="13"/>
    <n v="778.7"/>
    <n v="18.981538459999999"/>
    <n v="59.9"/>
    <x v="8"/>
    <n v="341"/>
    <n v="2"/>
    <n v="1850"/>
    <n v="4.3"/>
    <n v="146"/>
    <n v="22"/>
    <n v="9"/>
    <n v="2"/>
    <n v="10"/>
    <n v="2017"/>
    <n v="12.62135922"/>
    <n v="32560"/>
    <n v="59.9"/>
    <n v="4.0999999999999996"/>
    <n v="18.065897440000001"/>
    <n v="59.9"/>
    <n v="4.2"/>
    <n v="17.595483869999999"/>
    <n v="59.9"/>
    <n v="4.0999999999999996"/>
    <n v="16.814166669999999"/>
    <n v="59.9"/>
    <n v="59.900000000000006"/>
    <n v="59.9"/>
    <n v="15.115009746588694"/>
  </r>
  <r>
    <x v="39"/>
    <x v="1"/>
    <x v="6"/>
    <n v="9"/>
    <n v="495.5"/>
    <n v="45.696666669999999"/>
    <n v="54.45"/>
    <x v="8"/>
    <n v="341"/>
    <n v="2"/>
    <n v="1850"/>
    <n v="4.3"/>
    <n v="339"/>
    <n v="22"/>
    <n v="8"/>
    <n v="4"/>
    <n v="11"/>
    <n v="2017"/>
    <n v="8.7378640779999994"/>
    <n v="32560"/>
    <n v="52.406944439999997"/>
    <n v="4.0999999999999996"/>
    <n v="17.06747253"/>
    <n v="53.648281249999997"/>
    <n v="4.2"/>
    <n v="16.075862069999999"/>
    <n v="53.785714290000001"/>
    <n v="4.0999999999999996"/>
    <n v="18.27550725"/>
    <n v="59.9"/>
    <n v="55.055555555555557"/>
    <n v="59.900000000000006"/>
    <n v="15.110894941634241"/>
  </r>
  <r>
    <x v="39"/>
    <x v="1"/>
    <x v="7"/>
    <n v="1"/>
    <n v="49.9"/>
    <n v="18"/>
    <n v="49.9"/>
    <x v="8"/>
    <n v="341"/>
    <n v="2"/>
    <n v="1850"/>
    <n v="4.3"/>
    <n v="184"/>
    <n v="21"/>
    <n v="10"/>
    <n v="1"/>
    <n v="12"/>
    <n v="2017"/>
    <n v="0.97087378599999996"/>
    <n v="32560"/>
    <n v="55.1"/>
    <n v="4.0999999999999996"/>
    <n v="15.759607839999999"/>
    <n v="55.424999999999997"/>
    <n v="4.2"/>
    <n v="19.184374999999999"/>
    <n v="55.75"/>
    <n v="4.0999999999999996"/>
    <n v="17.267272729999998"/>
    <n v="54.45"/>
    <n v="49.9"/>
    <n v="55.055555555555557"/>
    <n v="15.099029126213592"/>
  </r>
  <r>
    <x v="39"/>
    <x v="1"/>
    <x v="8"/>
    <n v="1"/>
    <n v="49.9"/>
    <n v="35.86"/>
    <n v="49.9"/>
    <x v="8"/>
    <n v="341"/>
    <n v="2"/>
    <n v="1850"/>
    <n v="4.3"/>
    <n v="137"/>
    <n v="23"/>
    <n v="8"/>
    <n v="2"/>
    <n v="1"/>
    <n v="2018"/>
    <n v="4.1666666670000003"/>
    <n v="32560"/>
    <n v="49.9"/>
    <n v="4.0999999999999996"/>
    <n v="19.495000000000001"/>
    <n v="49.9"/>
    <n v="4.2"/>
    <n v="15.841034479999999"/>
    <n v="49.9"/>
    <n v="4.0999999999999996"/>
    <n v="16.505128209999999"/>
    <n v="49.9"/>
    <n v="49.9"/>
    <n v="49.9"/>
    <n v="15.071705426356589"/>
  </r>
  <r>
    <x v="39"/>
    <x v="1"/>
    <x v="9"/>
    <n v="4"/>
    <n v="203.6"/>
    <n v="33.524999999999999"/>
    <n v="51.233333330000001"/>
    <x v="8"/>
    <n v="341"/>
    <n v="2"/>
    <n v="1850"/>
    <n v="4.3"/>
    <n v="160"/>
    <n v="20"/>
    <n v="8"/>
    <n v="2"/>
    <n v="2"/>
    <n v="2018"/>
    <n v="16.666666670000001"/>
    <n v="32560"/>
    <n v="50.545161290000003"/>
    <n v="4.0999999999999996"/>
    <n v="16.611538459999998"/>
    <n v="50.9"/>
    <n v="4.2"/>
    <n v="17.519444440000001"/>
    <n v="50.357142860000003"/>
    <n v="4.0999999999999996"/>
    <n v="18.281874999999999"/>
    <n v="49.9"/>
    <n v="50.9"/>
    <n v="49.9"/>
    <n v="15.044487427466152"/>
  </r>
  <r>
    <x v="39"/>
    <x v="1"/>
    <x v="10"/>
    <n v="2"/>
    <n v="107.8"/>
    <n v="62.27"/>
    <n v="53.9"/>
    <x v="8"/>
    <n v="341"/>
    <n v="2"/>
    <n v="1850"/>
    <n v="4.3"/>
    <n v="116"/>
    <n v="22"/>
    <n v="9"/>
    <n v="1"/>
    <n v="3"/>
    <n v="2018"/>
    <n v="8.3333333330000006"/>
    <n v="32560"/>
    <n v="53.9"/>
    <n v="4.0999999999999996"/>
    <n v="20.359677420000001"/>
    <n v="53.9"/>
    <n v="4.2"/>
    <n v="21.852857140000001"/>
    <n v="53.9"/>
    <n v="4.0999999999999996"/>
    <n v="19.024230769999999"/>
    <n v="51.233333330000001"/>
    <n v="53.9"/>
    <n v="50.9"/>
    <n v="15.023166023166024"/>
  </r>
  <r>
    <x v="39"/>
    <x v="1"/>
    <x v="11"/>
    <n v="2"/>
    <n v="107.8"/>
    <n v="33.93"/>
    <n v="53.9"/>
    <x v="8"/>
    <n v="341"/>
    <n v="2"/>
    <n v="1850"/>
    <n v="4.3"/>
    <n v="111"/>
    <n v="21"/>
    <n v="9"/>
    <n v="1"/>
    <n v="4"/>
    <n v="2018"/>
    <n v="6.5938511330000003"/>
    <n v="32560"/>
    <n v="53.9"/>
    <n v="4.0999999999999996"/>
    <n v="5.2817391300000001"/>
    <n v="53.9"/>
    <n v="4.2"/>
    <n v="19.46846154"/>
    <n v="53.9"/>
    <n v="4.0999999999999996"/>
    <n v="19.071428569999998"/>
    <n v="53.9"/>
    <n v="53.9"/>
    <n v="53.9"/>
    <n v="14.998073217726397"/>
  </r>
  <r>
    <x v="39"/>
    <x v="1"/>
    <x v="12"/>
    <n v="4"/>
    <n v="199.6"/>
    <n v="21.21"/>
    <n v="49.9"/>
    <x v="8"/>
    <n v="341"/>
    <n v="2"/>
    <n v="1850"/>
    <n v="4.3"/>
    <n v="102"/>
    <n v="23"/>
    <n v="8"/>
    <n v="3"/>
    <n v="5"/>
    <n v="2018"/>
    <n v="9.3042071199999992"/>
    <n v="32560"/>
    <n v="53.415151520000002"/>
    <n v="4.0999999999999996"/>
    <n v="10.753035710000001"/>
    <n v="53.70952381"/>
    <n v="4.2"/>
    <n v="13.510344829999999"/>
    <n v="53.057894740000002"/>
    <n v="4.0999999999999996"/>
    <n v="12.98"/>
    <n v="53.9"/>
    <n v="49.9"/>
    <n v="53.9"/>
    <n v="14.973076923076922"/>
  </r>
  <r>
    <x v="39"/>
    <x v="1"/>
    <x v="13"/>
    <n v="5"/>
    <n v="249.5"/>
    <n v="22.42"/>
    <n v="49.9"/>
    <x v="8"/>
    <n v="341"/>
    <n v="2"/>
    <n v="1850"/>
    <n v="4.3"/>
    <n v="58"/>
    <n v="21"/>
    <n v="9"/>
    <n v="0"/>
    <n v="6"/>
    <n v="2018"/>
    <n v="12.843851129999999"/>
    <n v="32560"/>
    <n v="49.9"/>
    <n v="4.0999999999999996"/>
    <n v="19.89083333"/>
    <n v="49.9"/>
    <n v="4.2"/>
    <n v="23.251666669999999"/>
    <n v="49.9"/>
    <n v="4.0999999999999996"/>
    <n v="22.878666670000001"/>
    <n v="49.9"/>
    <n v="49.9"/>
    <n v="49.9"/>
    <n v="14.952015355086372"/>
  </r>
  <r>
    <x v="39"/>
    <x v="1"/>
    <x v="14"/>
    <n v="3"/>
    <n v="149.69999999999999"/>
    <n v="34.549999999999997"/>
    <n v="49.9"/>
    <x v="8"/>
    <n v="341"/>
    <n v="2"/>
    <n v="1850"/>
    <n v="4.3"/>
    <n v="54"/>
    <n v="22"/>
    <n v="9"/>
    <n v="1"/>
    <n v="7"/>
    <n v="2018"/>
    <n v="13.5315534"/>
    <n v="32560"/>
    <n v="49.91"/>
    <n v="4.0999999999999996"/>
    <n v="28.373333330000001"/>
    <n v="49.9"/>
    <n v="4.2"/>
    <n v="33.281428570000003"/>
    <n v="49.9"/>
    <n v="4.0999999999999996"/>
    <n v="20.99"/>
    <n v="49.9"/>
    <n v="49.9"/>
    <n v="49.9"/>
    <n v="14.932950191570882"/>
  </r>
  <r>
    <x v="39"/>
    <x v="1"/>
    <x v="15"/>
    <n v="3"/>
    <n v="149.69999999999999"/>
    <n v="20.99"/>
    <n v="49.9"/>
    <x v="8"/>
    <n v="341"/>
    <n v="2"/>
    <n v="1850"/>
    <n v="4.3"/>
    <n v="46"/>
    <n v="23"/>
    <n v="8"/>
    <n v="1"/>
    <n v="8"/>
    <n v="2018"/>
    <n v="15.47330097"/>
    <n v="32560"/>
    <n v="49.91"/>
    <n v="4.0999999999999996"/>
    <n v="20.32833333"/>
    <n v="49.9"/>
    <n v="4.2"/>
    <n v="36.442"/>
    <n v="49.9"/>
    <n v="4.0999999999999996"/>
    <n v="32.32"/>
    <n v="49.9"/>
    <n v="49.9"/>
    <n v="49.9"/>
    <n v="14.910133843212238"/>
  </r>
  <r>
    <x v="40"/>
    <x v="8"/>
    <x v="2"/>
    <n v="1"/>
    <n v="38.4"/>
    <n v="7.78"/>
    <n v="38.4"/>
    <x v="2"/>
    <n v="829"/>
    <n v="1"/>
    <n v="850"/>
    <n v="3.7"/>
    <n v="5"/>
    <n v="21"/>
    <n v="10"/>
    <n v="1"/>
    <n v="7"/>
    <n v="2017"/>
    <n v="5.9388335699999999"/>
    <n v="10000"/>
    <n v="75"/>
    <n v="4.0999999999999996"/>
    <n v="15.856"/>
    <n v="38.4"/>
    <n v="3.7"/>
    <n v="7.78"/>
    <n v="38.4"/>
    <n v="3.7"/>
    <n v="7.78"/>
    <n v="38.35"/>
    <n v="38.4"/>
    <s v=""/>
    <n v="14.887404580152671"/>
  </r>
  <r>
    <x v="40"/>
    <x v="8"/>
    <x v="3"/>
    <n v="8"/>
    <n v="307.2"/>
    <n v="12.105"/>
    <n v="38.4"/>
    <x v="2"/>
    <n v="829"/>
    <n v="1"/>
    <n v="850"/>
    <n v="3.7"/>
    <n v="14"/>
    <n v="23"/>
    <n v="8"/>
    <n v="1"/>
    <n v="8"/>
    <n v="2017"/>
    <n v="13.82645804"/>
    <n v="10000"/>
    <n v="75"/>
    <n v="4.0999999999999996"/>
    <n v="15.376923079999999"/>
    <n v="38.4"/>
    <n v="3.7"/>
    <n v="12.105"/>
    <n v="38.4"/>
    <n v="3.7"/>
    <n v="12.105"/>
    <n v="38.4"/>
    <n v="38.4"/>
    <n v="38.4"/>
    <n v="14.860952380952382"/>
  </r>
  <r>
    <x v="40"/>
    <x v="8"/>
    <x v="4"/>
    <n v="12"/>
    <n v="460.8"/>
    <n v="17.95"/>
    <n v="38.4"/>
    <x v="2"/>
    <n v="829"/>
    <n v="1"/>
    <n v="850"/>
    <n v="3.7"/>
    <n v="7"/>
    <n v="21"/>
    <n v="9"/>
    <n v="1"/>
    <n v="9"/>
    <n v="2017"/>
    <n v="16.21621622"/>
    <n v="10000"/>
    <n v="38.4"/>
    <n v="3.7"/>
    <n v="17.95"/>
    <n v="38.4"/>
    <n v="3.7"/>
    <n v="17.95"/>
    <n v="38.4"/>
    <n v="3.7"/>
    <n v="17.95"/>
    <n v="38.4"/>
    <n v="38.4"/>
    <n v="38.4"/>
    <n v="14.847908745247148"/>
  </r>
  <r>
    <x v="40"/>
    <x v="8"/>
    <x v="5"/>
    <n v="25"/>
    <n v="960"/>
    <n v="13.98"/>
    <n v="38.4"/>
    <x v="2"/>
    <n v="829"/>
    <n v="1"/>
    <n v="850"/>
    <n v="3.7"/>
    <n v="17"/>
    <n v="22"/>
    <n v="9"/>
    <n v="2"/>
    <n v="10"/>
    <n v="2017"/>
    <n v="33.78378378"/>
    <n v="10000"/>
    <n v="75"/>
    <n v="4.0999999999999996"/>
    <n v="13.64"/>
    <n v="38.4"/>
    <n v="3.7"/>
    <n v="13.98"/>
    <n v="38.4"/>
    <n v="3.7"/>
    <n v="13.98"/>
    <n v="38.4"/>
    <n v="38.4"/>
    <n v="38.4"/>
    <n v="14.842504743833016"/>
  </r>
  <r>
    <x v="40"/>
    <x v="8"/>
    <x v="6"/>
    <n v="28"/>
    <n v="1026.51"/>
    <n v="13.65214286"/>
    <n v="36.854285709999999"/>
    <x v="2"/>
    <n v="829"/>
    <n v="1"/>
    <n v="850"/>
    <n v="3.7"/>
    <n v="64"/>
    <n v="22"/>
    <n v="8"/>
    <n v="4"/>
    <n v="11"/>
    <n v="2017"/>
    <n v="37.837837839999999"/>
    <n v="10000"/>
    <n v="75"/>
    <n v="4.0999999999999996"/>
    <n v="16.13272727"/>
    <n v="36.854285709999999"/>
    <n v="3.7"/>
    <n v="13.65214286"/>
    <n v="99.9"/>
    <n v="4.4000000000000004"/>
    <n v="21.19"/>
    <n v="38.4"/>
    <n v="36.661071428571425"/>
    <n v="38.4"/>
    <n v="14.861742424242424"/>
  </r>
  <r>
    <x v="40"/>
    <x v="8"/>
    <x v="8"/>
    <n v="2"/>
    <n v="76.8"/>
    <n v="9.34"/>
    <n v="38.4"/>
    <x v="2"/>
    <n v="829"/>
    <n v="1"/>
    <n v="850"/>
    <n v="3.7"/>
    <n v="125"/>
    <n v="23"/>
    <n v="8"/>
    <n v="2"/>
    <n v="1"/>
    <n v="2018"/>
    <n v="2.1052631580000001"/>
    <n v="10000"/>
    <n v="69.995327099999997"/>
    <n v="4.0999999999999996"/>
    <n v="17.663114749999998"/>
    <n v="38.4"/>
    <n v="3.7"/>
    <n v="9.34"/>
    <n v="99.9"/>
    <n v="4.4000000000000004"/>
    <n v="22.819230770000001"/>
    <n v="38.35"/>
    <n v="38.4"/>
    <n v="36.661071428571425"/>
    <n v="14.886578449905482"/>
  </r>
  <r>
    <x v="40"/>
    <x v="8"/>
    <x v="9"/>
    <n v="9"/>
    <n v="345.6"/>
    <n v="18.685555560000001"/>
    <n v="38.4"/>
    <x v="2"/>
    <n v="829"/>
    <n v="1"/>
    <n v="850"/>
    <n v="3.7"/>
    <n v="52"/>
    <n v="20"/>
    <n v="8"/>
    <n v="2"/>
    <n v="2"/>
    <n v="2018"/>
    <n v="9.4736842110000001"/>
    <n v="10000"/>
    <n v="69.900000000000006"/>
    <n v="4.0999999999999996"/>
    <n v="16.115909089999999"/>
    <n v="38.4"/>
    <n v="3.7"/>
    <n v="18.685555560000001"/>
    <n v="99.9"/>
    <n v="4.4000000000000004"/>
    <n v="28.89076923"/>
    <n v="38.4"/>
    <n v="38.400000000000006"/>
    <n v="38.4"/>
    <n v="14.862264150943396"/>
  </r>
  <r>
    <x v="40"/>
    <x v="8"/>
    <x v="10"/>
    <n v="17"/>
    <n v="601.79999999999995"/>
    <n v="15.44823529"/>
    <n v="35.485714289999997"/>
    <x v="2"/>
    <n v="829"/>
    <n v="1"/>
    <n v="850"/>
    <n v="3.7"/>
    <n v="83"/>
    <n v="22"/>
    <n v="9"/>
    <n v="1"/>
    <n v="3"/>
    <n v="2018"/>
    <n v="17.89473684"/>
    <n v="10000"/>
    <n v="69.900000000000006"/>
    <n v="4.0999999999999996"/>
    <n v="18.425076919999999"/>
    <n v="35.485714289999997"/>
    <n v="3.7"/>
    <n v="15.44823529"/>
    <n v="99.9"/>
    <n v="4.4000000000000004"/>
    <n v="22.145833329999999"/>
    <n v="38.4"/>
    <n v="35.4"/>
    <n v="38.400000000000006"/>
    <n v="14.851224105461393"/>
  </r>
  <r>
    <x v="40"/>
    <x v="8"/>
    <x v="11"/>
    <n v="17"/>
    <n v="595"/>
    <n v="13.46941176"/>
    <n v="35"/>
    <x v="2"/>
    <n v="829"/>
    <n v="1"/>
    <n v="850"/>
    <n v="3.7"/>
    <n v="92"/>
    <n v="21"/>
    <n v="9"/>
    <n v="1"/>
    <n v="4"/>
    <n v="2018"/>
    <n v="17.89473684"/>
    <n v="10000"/>
    <n v="69.900000000000006"/>
    <n v="4.0999999999999996"/>
    <n v="9.0715662649999995"/>
    <n v="35"/>
    <n v="3.7"/>
    <n v="13.46941176"/>
    <n v="99.9"/>
    <n v="4.4000000000000004"/>
    <n v="23.32769231"/>
    <n v="35.485714289999997"/>
    <n v="35"/>
    <n v="35.4"/>
    <n v="14.855263157894736"/>
  </r>
  <r>
    <x v="40"/>
    <x v="8"/>
    <x v="12"/>
    <n v="11"/>
    <n v="385"/>
    <n v="14.634545449999999"/>
    <n v="35"/>
    <x v="2"/>
    <n v="829"/>
    <n v="1"/>
    <n v="850"/>
    <n v="3.7"/>
    <n v="95"/>
    <n v="23"/>
    <n v="8"/>
    <n v="3"/>
    <n v="5"/>
    <n v="2018"/>
    <n v="11.57894737"/>
    <n v="10000"/>
    <n v="69.900000000000006"/>
    <n v="4.0999999999999996"/>
    <n v="3.8016304349999999"/>
    <n v="35"/>
    <n v="3.7"/>
    <n v="14.634545449999999"/>
    <n v="99.9"/>
    <n v="4.4000000000000004"/>
    <n v="19.41076923"/>
    <n v="35"/>
    <n v="35"/>
    <n v="35"/>
    <n v="14.859287054409005"/>
  </r>
  <r>
    <x v="40"/>
    <x v="8"/>
    <x v="13"/>
    <n v="13"/>
    <n v="455"/>
    <n v="18.10153846"/>
    <n v="35"/>
    <x v="2"/>
    <n v="829"/>
    <n v="1"/>
    <n v="850"/>
    <n v="3.7"/>
    <n v="18"/>
    <n v="21"/>
    <n v="9"/>
    <n v="0"/>
    <n v="6"/>
    <n v="2018"/>
    <n v="13.68421053"/>
    <n v="10000"/>
    <n v="89.9"/>
    <n v="4.0999999999999996"/>
    <n v="21.93"/>
    <n v="35"/>
    <n v="3.7"/>
    <n v="18.10153846"/>
    <n v="99.9"/>
    <n v="4.4000000000000004"/>
    <n v="25.635999999999999"/>
    <n v="35"/>
    <n v="35"/>
    <n v="35"/>
    <n v="14.852059925093632"/>
  </r>
  <r>
    <x v="40"/>
    <x v="8"/>
    <x v="14"/>
    <n v="10"/>
    <n v="350"/>
    <n v="17.238"/>
    <n v="35"/>
    <x v="2"/>
    <n v="829"/>
    <n v="1"/>
    <n v="850"/>
    <n v="3.7"/>
    <n v="22"/>
    <n v="22"/>
    <n v="9"/>
    <n v="1"/>
    <n v="7"/>
    <n v="2018"/>
    <n v="5.9388335699999999"/>
    <n v="10000"/>
    <n v="89.9"/>
    <n v="4.0999999999999996"/>
    <n v="29.79"/>
    <n v="35"/>
    <n v="3.7"/>
    <n v="17.238"/>
    <n v="78.535714290000001"/>
    <n v="4.4000000000000004"/>
    <n v="23.847142860000002"/>
    <n v="35"/>
    <n v="35"/>
    <n v="35"/>
    <n v="14.848598130841122"/>
  </r>
  <r>
    <x v="40"/>
    <x v="8"/>
    <x v="15"/>
    <n v="16"/>
    <n v="560"/>
    <n v="15.628125000000001"/>
    <n v="35"/>
    <x v="2"/>
    <n v="829"/>
    <n v="1"/>
    <n v="850"/>
    <n v="3.7"/>
    <n v="19"/>
    <n v="23"/>
    <n v="8"/>
    <n v="1"/>
    <n v="8"/>
    <n v="2018"/>
    <n v="13.82645804"/>
    <n v="10000"/>
    <n v="103.2333333"/>
    <n v="4.0999999999999996"/>
    <n v="22.3"/>
    <n v="35"/>
    <n v="3.7"/>
    <n v="15.628125000000001"/>
    <n v="83.833333330000002"/>
    <n v="4.4000000000000004"/>
    <n v="23.776666670000001"/>
    <n v="35"/>
    <n v="35"/>
    <n v="35"/>
    <n v="14.83955223880597"/>
  </r>
  <r>
    <x v="41"/>
    <x v="3"/>
    <x v="3"/>
    <n v="6"/>
    <n v="1950"/>
    <n v="21.074999999999999"/>
    <n v="325"/>
    <x v="21"/>
    <n v="2644"/>
    <n v="6"/>
    <n v="400"/>
    <n v="4.2"/>
    <n v="82"/>
    <n v="23"/>
    <n v="8"/>
    <n v="1"/>
    <n v="8"/>
    <n v="2017"/>
    <n v="16.968867599999999"/>
    <n v="2992"/>
    <n v="23.39740741"/>
    <n v="4.3"/>
    <n v="14.27678571"/>
    <n v="89.99"/>
    <n v="4.0999999999999996"/>
    <n v="13.410555560000001"/>
    <n v="58.99"/>
    <n v="3.9"/>
    <n v="16.240909089999999"/>
    <n v="324.95"/>
    <n v="325"/>
    <s v=""/>
    <n v="14.84171322160149"/>
  </r>
  <r>
    <x v="41"/>
    <x v="3"/>
    <x v="4"/>
    <n v="11"/>
    <n v="3575"/>
    <n v="19.523636360000001"/>
    <n v="325"/>
    <x v="21"/>
    <n v="2644"/>
    <n v="6"/>
    <n v="400"/>
    <n v="4.2"/>
    <n v="89"/>
    <n v="21"/>
    <n v="9"/>
    <n v="1"/>
    <n v="9"/>
    <n v="2017"/>
    <n v="29.729729729999999"/>
    <n v="2992"/>
    <n v="23.99"/>
    <n v="4.3"/>
    <n v="16.12"/>
    <n v="89.99"/>
    <n v="4.0999999999999996"/>
    <n v="13.96428571"/>
    <n v="58.99"/>
    <n v="3.9"/>
    <n v="15.639200000000001"/>
    <n v="325"/>
    <n v="325"/>
    <n v="325"/>
    <n v="14.825278810408921"/>
  </r>
  <r>
    <x v="41"/>
    <x v="3"/>
    <x v="5"/>
    <n v="2"/>
    <n v="650"/>
    <n v="19.545000000000002"/>
    <n v="325"/>
    <x v="21"/>
    <n v="2644"/>
    <n v="6"/>
    <n v="400"/>
    <n v="4.2"/>
    <n v="81"/>
    <n v="22"/>
    <n v="9"/>
    <n v="2"/>
    <n v="10"/>
    <n v="2017"/>
    <n v="5.4054054049999998"/>
    <n v="2992"/>
    <n v="23.99"/>
    <n v="4.3"/>
    <n v="13.13666667"/>
    <n v="89.99"/>
    <n v="4.0999999999999996"/>
    <n v="16.56291667"/>
    <n v="58.99"/>
    <n v="3.9"/>
    <n v="19.065263160000001"/>
    <n v="325"/>
    <n v="325"/>
    <n v="325"/>
    <n v="14.818181818181818"/>
  </r>
  <r>
    <x v="41"/>
    <x v="3"/>
    <x v="6"/>
    <n v="12"/>
    <n v="3900"/>
    <n v="16.994166669999998"/>
    <n v="325"/>
    <x v="21"/>
    <n v="2644"/>
    <n v="6"/>
    <n v="400"/>
    <n v="4.2"/>
    <n v="139"/>
    <n v="22"/>
    <n v="8"/>
    <n v="4"/>
    <n v="11"/>
    <n v="2017"/>
    <n v="32.432432429999999"/>
    <n v="2992"/>
    <n v="23.99"/>
    <n v="4.3"/>
    <n v="12.37535714"/>
    <n v="89.99"/>
    <n v="4.0999999999999996"/>
    <n v="16.99038462"/>
    <n v="58.99"/>
    <n v="3.9"/>
    <n v="15.71166667"/>
    <n v="325"/>
    <n v="325"/>
    <n v="325"/>
    <n v="14.794444444444444"/>
  </r>
  <r>
    <x v="41"/>
    <x v="3"/>
    <x v="7"/>
    <n v="6"/>
    <n v="1950"/>
    <n v="17.583333329999999"/>
    <n v="325"/>
    <x v="21"/>
    <n v="2644"/>
    <n v="6"/>
    <n v="400"/>
    <n v="4.2"/>
    <n v="112"/>
    <n v="21"/>
    <n v="10"/>
    <n v="1"/>
    <n v="12"/>
    <n v="2017"/>
    <n v="16.21621622"/>
    <n v="2992"/>
    <n v="23.99"/>
    <n v="4.3"/>
    <n v="12.45684211"/>
    <n v="89.99"/>
    <n v="4.0999999999999996"/>
    <n v="15.89473684"/>
    <n v="58.99"/>
    <n v="3.9"/>
    <n v="16.332222219999998"/>
    <n v="325"/>
    <n v="325"/>
    <n v="325"/>
    <n v="14.789279112754159"/>
  </r>
  <r>
    <x v="41"/>
    <x v="3"/>
    <x v="8"/>
    <n v="10"/>
    <n v="3250"/>
    <n v="19.824000000000002"/>
    <n v="325"/>
    <x v="21"/>
    <n v="2644"/>
    <n v="6"/>
    <n v="400"/>
    <n v="4.2"/>
    <n v="98"/>
    <n v="23"/>
    <n v="8"/>
    <n v="2"/>
    <n v="1"/>
    <n v="2018"/>
    <n v="6.3291139239999996"/>
    <n v="2992"/>
    <n v="23.99"/>
    <n v="4.3"/>
    <n v="11.28736842"/>
    <n v="89.99"/>
    <n v="4.0999999999999996"/>
    <n v="14.811"/>
    <n v="58.99"/>
    <n v="3.9"/>
    <n v="22.678333330000001"/>
    <n v="325"/>
    <n v="325"/>
    <n v="325"/>
    <n v="14.773062730627306"/>
  </r>
  <r>
    <x v="41"/>
    <x v="3"/>
    <x v="9"/>
    <n v="23"/>
    <n v="7475"/>
    <n v="15.637826090000001"/>
    <n v="325"/>
    <x v="21"/>
    <n v="2644"/>
    <n v="6"/>
    <n v="400"/>
    <n v="4.2"/>
    <n v="126"/>
    <n v="20"/>
    <n v="8"/>
    <n v="2"/>
    <n v="2"/>
    <n v="2018"/>
    <n v="14.556962029999999"/>
    <n v="2992"/>
    <n v="23.99"/>
    <n v="4.3"/>
    <n v="12.55"/>
    <n v="89.99"/>
    <n v="4.0999999999999996"/>
    <n v="16.307647060000001"/>
    <n v="58.99"/>
    <n v="3.9"/>
    <n v="19.574999999999999"/>
    <n v="325"/>
    <n v="325"/>
    <n v="325"/>
    <n v="14.764272559852671"/>
  </r>
  <r>
    <x v="41"/>
    <x v="3"/>
    <x v="10"/>
    <n v="28"/>
    <n v="9125"/>
    <n v="19.370357139999999"/>
    <n v="325.89285710000001"/>
    <x v="21"/>
    <n v="2644"/>
    <n v="6"/>
    <n v="400"/>
    <n v="4.2"/>
    <n v="169"/>
    <n v="22"/>
    <n v="9"/>
    <n v="1"/>
    <n v="3"/>
    <n v="2018"/>
    <n v="17.72151899"/>
    <n v="2992"/>
    <n v="23.99"/>
    <n v="4.3"/>
    <n v="14.19875"/>
    <n v="83.74"/>
    <n v="4.0999999999999996"/>
    <n v="11.876875"/>
    <n v="58.99"/>
    <n v="3.9"/>
    <n v="15.228"/>
    <n v="325"/>
    <n v="325.89285714285717"/>
    <n v="325"/>
    <n v="14.779411764705882"/>
  </r>
  <r>
    <x v="41"/>
    <x v="3"/>
    <x v="11"/>
    <n v="21"/>
    <n v="6930"/>
    <n v="17.309047620000001"/>
    <n v="330"/>
    <x v="21"/>
    <n v="2644"/>
    <n v="6"/>
    <n v="400"/>
    <n v="4.2"/>
    <n v="118"/>
    <n v="21"/>
    <n v="9"/>
    <n v="1"/>
    <n v="4"/>
    <n v="2018"/>
    <n v="13.29113924"/>
    <n v="2992"/>
    <n v="330"/>
    <n v="4.2"/>
    <n v="17.309047620000001"/>
    <n v="79.989999999999995"/>
    <n v="4.0999999999999996"/>
    <n v="14.484999999999999"/>
    <n v="58.99"/>
    <n v="3.9"/>
    <n v="16.302727269999998"/>
    <n v="325.89285710000001"/>
    <n v="330"/>
    <n v="325.89285714285717"/>
    <n v="14.803669724770643"/>
  </r>
  <r>
    <x v="41"/>
    <x v="3"/>
    <x v="12"/>
    <n v="19"/>
    <n v="6270"/>
    <n v="15.74789474"/>
    <n v="330"/>
    <x v="21"/>
    <n v="2644"/>
    <n v="6"/>
    <n v="400"/>
    <n v="4.2"/>
    <n v="159"/>
    <n v="23"/>
    <n v="8"/>
    <n v="3"/>
    <n v="5"/>
    <n v="2018"/>
    <n v="12.025316460000001"/>
    <n v="2992"/>
    <n v="23.99"/>
    <n v="4.3"/>
    <n v="7.9885714290000003"/>
    <n v="79.989999999999995"/>
    <n v="4.0999999999999996"/>
    <n v="21.943124999999998"/>
    <n v="58.99"/>
    <n v="3.9"/>
    <n v="9.4224999999999994"/>
    <n v="330"/>
    <n v="330"/>
    <n v="330"/>
    <n v="14.815018315018316"/>
  </r>
  <r>
    <x v="41"/>
    <x v="3"/>
    <x v="13"/>
    <n v="16"/>
    <n v="5280"/>
    <n v="20.298749999999998"/>
    <n v="330"/>
    <x v="21"/>
    <n v="2644"/>
    <n v="6"/>
    <n v="400"/>
    <n v="4.2"/>
    <n v="131"/>
    <n v="21"/>
    <n v="9"/>
    <n v="0"/>
    <n v="6"/>
    <n v="2018"/>
    <n v="10.126582279999999"/>
    <n v="2992"/>
    <n v="23.99"/>
    <n v="4.3"/>
    <n v="16.27"/>
    <n v="79.989999999999995"/>
    <n v="4.0999999999999996"/>
    <n v="13.36230769"/>
    <n v="58.99"/>
    <n v="3.9"/>
    <n v="16.43"/>
    <n v="330"/>
    <n v="330"/>
    <n v="330"/>
    <n v="14.822669104204753"/>
  </r>
  <r>
    <x v="41"/>
    <x v="3"/>
    <x v="14"/>
    <n v="13"/>
    <n v="4290"/>
    <n v="28.42"/>
    <n v="330"/>
    <x v="21"/>
    <n v="2644"/>
    <n v="6"/>
    <n v="400"/>
    <n v="4.2"/>
    <n v="113"/>
    <n v="22"/>
    <n v="9"/>
    <n v="1"/>
    <n v="7"/>
    <n v="2018"/>
    <n v="8.2278481009999993"/>
    <n v="2992"/>
    <n v="23.99"/>
    <n v="4.3"/>
    <n v="18.809999999999999"/>
    <n v="79.989999999999995"/>
    <n v="4.0999999999999996"/>
    <n v="16.745000000000001"/>
    <n v="58.99"/>
    <n v="3.9"/>
    <n v="7.67"/>
    <n v="330"/>
    <n v="330"/>
    <n v="330"/>
    <n v="14.824817518248175"/>
  </r>
  <r>
    <x v="41"/>
    <x v="3"/>
    <x v="15"/>
    <n v="28"/>
    <n v="9240"/>
    <n v="20.505357140000001"/>
    <n v="330"/>
    <x v="21"/>
    <n v="2644"/>
    <n v="6"/>
    <n v="400"/>
    <n v="4.2"/>
    <n v="127"/>
    <n v="23"/>
    <n v="8"/>
    <n v="1"/>
    <n v="8"/>
    <n v="2018"/>
    <n v="16.968867599999999"/>
    <n v="2992"/>
    <n v="23.99"/>
    <n v="4.3"/>
    <n v="16.77"/>
    <n v="82.821428569999995"/>
    <n v="4.0999999999999996"/>
    <n v="12.41857143"/>
    <n v="58.99"/>
    <n v="3.9"/>
    <n v="12.08333333"/>
    <n v="330"/>
    <n v="330"/>
    <n v="330"/>
    <n v="14.821493624772314"/>
  </r>
  <r>
    <x v="42"/>
    <x v="1"/>
    <x v="18"/>
    <n v="1"/>
    <n v="99.99"/>
    <n v="28.89"/>
    <n v="99.99"/>
    <x v="12"/>
    <n v="1893"/>
    <n v="1"/>
    <n v="5950"/>
    <n v="4.3"/>
    <n v="3"/>
    <n v="20"/>
    <n v="8"/>
    <n v="2"/>
    <n v="2"/>
    <n v="2017"/>
    <n v="7.5102040819999996"/>
    <n v="8000"/>
    <n v="99.99"/>
    <n v="4.3"/>
    <n v="28.89"/>
    <n v="99.99"/>
    <n v="4.3"/>
    <n v="28.89"/>
    <n v="99.99"/>
    <n v="4.3"/>
    <n v="28.89"/>
    <n v="99.94"/>
    <n v="99.99"/>
    <s v=""/>
    <n v="14.845454545454546"/>
  </r>
  <r>
    <x v="42"/>
    <x v="1"/>
    <x v="16"/>
    <n v="5"/>
    <n v="499.95"/>
    <n v="31.946000000000002"/>
    <n v="99.99"/>
    <x v="12"/>
    <n v="1893"/>
    <n v="1"/>
    <n v="5950"/>
    <n v="4.3"/>
    <n v="21"/>
    <n v="23"/>
    <n v="8"/>
    <n v="1"/>
    <n v="3"/>
    <n v="2017"/>
    <n v="8.5510204079999994"/>
    <n v="8000"/>
    <n v="99.99"/>
    <n v="4.3"/>
    <n v="31.946000000000002"/>
    <n v="99.99"/>
    <n v="4.3"/>
    <n v="31.946000000000002"/>
    <n v="99.99"/>
    <n v="4.3"/>
    <n v="31.946000000000002"/>
    <n v="99.99"/>
    <n v="99.99"/>
    <n v="99.99"/>
    <n v="14.820326678765881"/>
  </r>
  <r>
    <x v="42"/>
    <x v="1"/>
    <x v="0"/>
    <n v="4"/>
    <n v="439.96"/>
    <n v="32.092500000000001"/>
    <n v="109.99"/>
    <x v="12"/>
    <n v="1893"/>
    <n v="1"/>
    <n v="5950"/>
    <n v="4.3"/>
    <n v="34"/>
    <n v="23"/>
    <n v="8"/>
    <n v="1"/>
    <n v="5"/>
    <n v="2017"/>
    <n v="4.0408163269999999"/>
    <n v="8000"/>
    <n v="59.9"/>
    <n v="4.0999999999999996"/>
    <n v="19.732500000000002"/>
    <n v="59.9"/>
    <n v="4.2"/>
    <n v="26.24666667"/>
    <n v="109.99"/>
    <n v="4.3"/>
    <n v="32.092500000000001"/>
    <n v="109.94"/>
    <n v="109.99"/>
    <n v="99.99"/>
    <n v="14.802536231884059"/>
  </r>
  <r>
    <x v="42"/>
    <x v="1"/>
    <x v="1"/>
    <n v="6"/>
    <n v="659.94"/>
    <n v="38.35166667"/>
    <n v="109.99"/>
    <x v="12"/>
    <n v="1893"/>
    <n v="1"/>
    <n v="5950"/>
    <n v="4.3"/>
    <n v="26"/>
    <n v="22"/>
    <n v="8"/>
    <n v="1"/>
    <n v="6"/>
    <n v="2017"/>
    <n v="9.0612244900000007"/>
    <n v="8000"/>
    <n v="59.9"/>
    <n v="4.0999999999999996"/>
    <n v="17.670000000000002"/>
    <n v="59.9"/>
    <n v="4.2"/>
    <n v="16.260000000000002"/>
    <n v="109.99"/>
    <n v="4.3"/>
    <n v="38.35166667"/>
    <n v="109.99"/>
    <n v="109.99000000000001"/>
    <n v="109.99"/>
    <n v="14.783001808318264"/>
  </r>
  <r>
    <x v="42"/>
    <x v="1"/>
    <x v="2"/>
    <n v="1"/>
    <n v="120"/>
    <n v="34.200000000000003"/>
    <n v="120"/>
    <x v="12"/>
    <n v="1893"/>
    <n v="1"/>
    <n v="5950"/>
    <n v="4.3"/>
    <n v="74"/>
    <n v="21"/>
    <n v="10"/>
    <n v="1"/>
    <n v="7"/>
    <n v="2017"/>
    <n v="7.5102040819999996"/>
    <n v="8000"/>
    <n v="59.9"/>
    <n v="4.0999999999999996"/>
    <n v="16.626428570000002"/>
    <n v="59.9"/>
    <n v="4.2"/>
    <n v="16.111578949999998"/>
    <n v="59.9"/>
    <n v="4.0999999999999996"/>
    <n v="15.392307690000001"/>
    <n v="109.99"/>
    <n v="120"/>
    <n v="109.99000000000001"/>
    <n v="14.767148014440433"/>
  </r>
  <r>
    <x v="42"/>
    <x v="1"/>
    <x v="3"/>
    <n v="2"/>
    <n v="240"/>
    <n v="33.83"/>
    <n v="120"/>
    <x v="12"/>
    <n v="1893"/>
    <n v="1"/>
    <n v="5950"/>
    <n v="4.3"/>
    <n v="113"/>
    <n v="23"/>
    <n v="8"/>
    <n v="1"/>
    <n v="8"/>
    <n v="2017"/>
    <n v="7.0204081629999999"/>
    <n v="8000"/>
    <n v="59.9"/>
    <n v="4.0999999999999996"/>
    <n v="18.162307689999999"/>
    <n v="59.9"/>
    <n v="4.2"/>
    <n v="17.68111111"/>
    <n v="59.9"/>
    <n v="4.0999999999999996"/>
    <n v="18.05043478"/>
    <n v="120"/>
    <n v="120"/>
    <n v="120"/>
    <n v="14.742342342342342"/>
  </r>
  <r>
    <x v="42"/>
    <x v="1"/>
    <x v="4"/>
    <n v="7"/>
    <n v="735"/>
    <n v="30.04"/>
    <n v="102.5"/>
    <x v="12"/>
    <n v="1893"/>
    <n v="1"/>
    <n v="5950"/>
    <n v="4.3"/>
    <n v="115"/>
    <n v="21"/>
    <n v="9"/>
    <n v="1"/>
    <n v="9"/>
    <n v="2017"/>
    <n v="7.1428571429999996"/>
    <n v="8000"/>
    <n v="59.9"/>
    <n v="4.0999999999999996"/>
    <n v="17.187027029999999"/>
    <n v="59.9"/>
    <n v="4.2"/>
    <n v="16.811764709999999"/>
    <n v="59.9"/>
    <n v="4.0999999999999996"/>
    <n v="16.29461538"/>
    <n v="120"/>
    <n v="105"/>
    <n v="120"/>
    <n v="14.719424460431656"/>
  </r>
  <r>
    <x v="42"/>
    <x v="1"/>
    <x v="5"/>
    <n v="17"/>
    <n v="1619.93"/>
    <n v="41.089411759999997"/>
    <n v="95.29"/>
    <x v="12"/>
    <n v="1893"/>
    <n v="1"/>
    <n v="5950"/>
    <n v="4.3"/>
    <n v="146"/>
    <n v="22"/>
    <n v="9"/>
    <n v="2"/>
    <n v="10"/>
    <n v="2017"/>
    <n v="17.346938779999999"/>
    <n v="8000"/>
    <n v="59.9"/>
    <n v="4.0999999999999996"/>
    <n v="18.065897440000001"/>
    <n v="59.9"/>
    <n v="4.2"/>
    <n v="17.595483869999999"/>
    <n v="59.9"/>
    <n v="4.0999999999999996"/>
    <n v="16.814166669999999"/>
    <n v="102.5"/>
    <n v="95.29"/>
    <n v="105"/>
    <n v="14.70556552962298"/>
  </r>
  <r>
    <x v="42"/>
    <x v="1"/>
    <x v="6"/>
    <n v="28"/>
    <n v="2519.7199999999998"/>
    <n v="39.336785710000001"/>
    <n v="89.99"/>
    <x v="12"/>
    <n v="1893"/>
    <n v="1"/>
    <n v="5950"/>
    <n v="4.3"/>
    <n v="339"/>
    <n v="22"/>
    <n v="8"/>
    <n v="4"/>
    <n v="11"/>
    <n v="2017"/>
    <n v="28.571428569999998"/>
    <n v="8000"/>
    <n v="52.406944439999997"/>
    <n v="4.0999999999999996"/>
    <n v="17.06747253"/>
    <n v="53.648281249999997"/>
    <n v="4.2"/>
    <n v="16.075862069999999"/>
    <n v="53.785714290000001"/>
    <n v="4.0999999999999996"/>
    <n v="18.27550725"/>
    <n v="95.29"/>
    <n v="89.99"/>
    <n v="95.29"/>
    <n v="14.709677419354838"/>
  </r>
  <r>
    <x v="42"/>
    <x v="1"/>
    <x v="7"/>
    <n v="27"/>
    <n v="2429.73"/>
    <n v="38.416296299999999"/>
    <n v="89.99"/>
    <x v="12"/>
    <n v="1893"/>
    <n v="1"/>
    <n v="5950"/>
    <n v="4.3"/>
    <n v="184"/>
    <n v="21"/>
    <n v="10"/>
    <n v="1"/>
    <n v="12"/>
    <n v="2017"/>
    <n v="27.55102041"/>
    <n v="8000"/>
    <n v="55.1"/>
    <n v="4.0999999999999996"/>
    <n v="15.759607839999999"/>
    <n v="55.424999999999997"/>
    <n v="4.2"/>
    <n v="19.184374999999999"/>
    <n v="55.75"/>
    <n v="4.0999999999999996"/>
    <n v="17.267272729999998"/>
    <n v="89.99"/>
    <n v="89.99"/>
    <n v="89.99"/>
    <n v="14.733452593917709"/>
  </r>
  <r>
    <x v="42"/>
    <x v="1"/>
    <x v="8"/>
    <n v="11"/>
    <n v="1405"/>
    <n v="45.97"/>
    <n v="127.7272727"/>
    <x v="12"/>
    <n v="1893"/>
    <n v="1"/>
    <n v="5950"/>
    <n v="4.3"/>
    <n v="137"/>
    <n v="23"/>
    <n v="8"/>
    <n v="2"/>
    <n v="1"/>
    <n v="2018"/>
    <n v="22"/>
    <n v="8000"/>
    <n v="49.9"/>
    <n v="4.0999999999999996"/>
    <n v="19.495000000000001"/>
    <n v="49.9"/>
    <n v="4.2"/>
    <n v="15.841034479999999"/>
    <n v="49.9"/>
    <n v="4.0999999999999996"/>
    <n v="16.505128209999999"/>
    <n v="89.99"/>
    <n v="127.72727272727273"/>
    <n v="89.99"/>
    <n v="14.755357142857143"/>
  </r>
  <r>
    <x v="42"/>
    <x v="1"/>
    <x v="9"/>
    <n v="7"/>
    <n v="840"/>
    <n v="43.381428569999997"/>
    <n v="120"/>
    <x v="12"/>
    <n v="1893"/>
    <n v="1"/>
    <n v="5950"/>
    <n v="4.3"/>
    <n v="160"/>
    <n v="20"/>
    <n v="8"/>
    <n v="2"/>
    <n v="2"/>
    <n v="2018"/>
    <n v="7.5102040819999996"/>
    <n v="8000"/>
    <n v="50.545161290000003"/>
    <n v="4.0999999999999996"/>
    <n v="16.611538459999998"/>
    <n v="50.9"/>
    <n v="4.2"/>
    <n v="17.519444440000001"/>
    <n v="50.357142860000003"/>
    <n v="4.0999999999999996"/>
    <n v="18.281874999999999"/>
    <n v="127.7272727"/>
    <n v="120"/>
    <n v="127.72727272727273"/>
    <n v="14.748663101604278"/>
  </r>
  <r>
    <x v="42"/>
    <x v="1"/>
    <x v="10"/>
    <n v="6"/>
    <n v="660"/>
    <n v="54.53166667"/>
    <n v="110"/>
    <x v="12"/>
    <n v="1893"/>
    <n v="1"/>
    <n v="5950"/>
    <n v="4.3"/>
    <n v="116"/>
    <n v="22"/>
    <n v="9"/>
    <n v="1"/>
    <n v="3"/>
    <n v="2018"/>
    <n v="8.5510204079999994"/>
    <n v="8000"/>
    <n v="53.9"/>
    <n v="4.0999999999999996"/>
    <n v="20.359677420000001"/>
    <n v="53.9"/>
    <n v="4.2"/>
    <n v="21.852857140000001"/>
    <n v="53.9"/>
    <n v="4.0999999999999996"/>
    <n v="19.024230769999999"/>
    <n v="120"/>
    <n v="110"/>
    <n v="120"/>
    <n v="14.734875444839858"/>
  </r>
  <r>
    <x v="42"/>
    <x v="1"/>
    <x v="11"/>
    <n v="5"/>
    <n v="550"/>
    <n v="42.725999999999999"/>
    <n v="110"/>
    <x v="12"/>
    <n v="1893"/>
    <n v="1"/>
    <n v="5950"/>
    <n v="4.3"/>
    <n v="111"/>
    <n v="21"/>
    <n v="9"/>
    <n v="1"/>
    <n v="4"/>
    <n v="2018"/>
    <n v="10"/>
    <n v="8000"/>
    <n v="53.9"/>
    <n v="4.0999999999999996"/>
    <n v="5.2817391300000001"/>
    <n v="53.9"/>
    <n v="4.2"/>
    <n v="19.46846154"/>
    <n v="53.9"/>
    <n v="4.0999999999999996"/>
    <n v="19.071428569999998"/>
    <n v="110"/>
    <n v="110"/>
    <n v="110"/>
    <n v="14.719360568383658"/>
  </r>
  <r>
    <x v="42"/>
    <x v="1"/>
    <x v="12"/>
    <n v="2"/>
    <n v="220"/>
    <n v="32.229999999999997"/>
    <n v="110"/>
    <x v="12"/>
    <n v="1893"/>
    <n v="1"/>
    <n v="5950"/>
    <n v="4.3"/>
    <n v="102"/>
    <n v="23"/>
    <n v="8"/>
    <n v="3"/>
    <n v="5"/>
    <n v="2018"/>
    <n v="4.0408163269999999"/>
    <n v="8000"/>
    <n v="53.415151520000002"/>
    <n v="4.0999999999999996"/>
    <n v="10.753035710000001"/>
    <n v="53.70952381"/>
    <n v="4.2"/>
    <n v="13.510344829999999"/>
    <n v="53.057894740000002"/>
    <n v="4.0999999999999996"/>
    <n v="12.98"/>
    <n v="110"/>
    <n v="110"/>
    <n v="110"/>
    <n v="14.702127659574469"/>
  </r>
  <r>
    <x v="42"/>
    <x v="1"/>
    <x v="13"/>
    <n v="6"/>
    <n v="539.94000000000005"/>
    <n v="48.178333330000001"/>
    <n v="89.99"/>
    <x v="12"/>
    <n v="1893"/>
    <n v="1"/>
    <n v="5950"/>
    <n v="4.3"/>
    <n v="58"/>
    <n v="21"/>
    <n v="9"/>
    <n v="0"/>
    <n v="6"/>
    <n v="2018"/>
    <n v="9.0612244900000007"/>
    <n v="8000"/>
    <n v="49.9"/>
    <n v="4.0999999999999996"/>
    <n v="19.89083333"/>
    <n v="49.9"/>
    <n v="4.2"/>
    <n v="23.251666669999999"/>
    <n v="49.9"/>
    <n v="4.0999999999999996"/>
    <n v="22.878666670000001"/>
    <n v="110"/>
    <n v="89.990000000000009"/>
    <n v="110"/>
    <n v="14.679646017699115"/>
  </r>
  <r>
    <x v="42"/>
    <x v="1"/>
    <x v="14"/>
    <n v="7"/>
    <n v="699.93"/>
    <n v="43.68"/>
    <n v="99.99"/>
    <x v="12"/>
    <n v="1893"/>
    <n v="1"/>
    <n v="5950"/>
    <n v="4.3"/>
    <n v="54"/>
    <n v="22"/>
    <n v="9"/>
    <n v="1"/>
    <n v="7"/>
    <n v="2018"/>
    <n v="7.5102040819999996"/>
    <n v="8000"/>
    <n v="49.91"/>
    <n v="4.0999999999999996"/>
    <n v="28.373333330000001"/>
    <n v="49.9"/>
    <n v="4.2"/>
    <n v="33.281428570000003"/>
    <n v="49.9"/>
    <n v="4.0999999999999996"/>
    <n v="20.99"/>
    <n v="89.99"/>
    <n v="99.99"/>
    <n v="89.990000000000009"/>
    <n v="14.664310954063604"/>
  </r>
  <r>
    <x v="42"/>
    <x v="1"/>
    <x v="15"/>
    <n v="6"/>
    <n v="589.94000000000005"/>
    <n v="34.083333330000002"/>
    <n v="98.323333329999997"/>
    <x v="12"/>
    <n v="1893"/>
    <n v="1"/>
    <n v="5950"/>
    <n v="4.3"/>
    <n v="46"/>
    <n v="23"/>
    <n v="8"/>
    <n v="1"/>
    <n v="8"/>
    <n v="2018"/>
    <n v="7.0204081629999999"/>
    <n v="8000"/>
    <n v="49.91"/>
    <n v="4.0999999999999996"/>
    <n v="20.32833333"/>
    <n v="49.9"/>
    <n v="4.2"/>
    <n v="36.442"/>
    <n v="49.9"/>
    <n v="4.0999999999999996"/>
    <n v="32.32"/>
    <n v="99.99"/>
    <n v="98.323333333333338"/>
    <n v="99.99"/>
    <n v="14.65079365079365"/>
  </r>
  <r>
    <x v="43"/>
    <x v="4"/>
    <x v="18"/>
    <n v="7"/>
    <n v="599.92999999999995"/>
    <n v="21.97142857"/>
    <n v="85.704285709999994"/>
    <x v="7"/>
    <n v="1012"/>
    <n v="1"/>
    <n v="1200"/>
    <n v="4.2"/>
    <n v="7"/>
    <n v="20"/>
    <n v="8"/>
    <n v="2"/>
    <n v="2"/>
    <n v="2017"/>
    <n v="8.7087087089999997"/>
    <n v="15750"/>
    <n v="85.704285709999994"/>
    <n v="4.2"/>
    <n v="21.97142857"/>
    <n v="85.704285709999994"/>
    <n v="4.2"/>
    <n v="21.97142857"/>
    <n v="85.704285709999994"/>
    <n v="4.2"/>
    <n v="21.97142857"/>
    <n v="85.654285709999996"/>
    <n v="85.704285714285703"/>
    <s v=""/>
    <n v="14.63556338028169"/>
  </r>
  <r>
    <x v="43"/>
    <x v="4"/>
    <x v="16"/>
    <n v="14"/>
    <n v="1399.86"/>
    <n v="16.644285709999998"/>
    <n v="99.99"/>
    <x v="7"/>
    <n v="1012"/>
    <n v="1"/>
    <n v="1200"/>
    <n v="4.2"/>
    <n v="22"/>
    <n v="23"/>
    <n v="8"/>
    <n v="1"/>
    <n v="3"/>
    <n v="2017"/>
    <n v="17.41741742"/>
    <n v="15750"/>
    <n v="99.99"/>
    <n v="4.2"/>
    <n v="16.644285709999998"/>
    <n v="129.99"/>
    <n v="4.3"/>
    <n v="18.778749999999999"/>
    <n v="99.99"/>
    <n v="4.2"/>
    <n v="16.644285709999998"/>
    <n v="85.704285709999994"/>
    <n v="99.99"/>
    <n v="85.704285714285703"/>
    <n v="14.622144112478031"/>
  </r>
  <r>
    <x v="43"/>
    <x v="4"/>
    <x v="17"/>
    <n v="17"/>
    <n v="1699.83"/>
    <n v="14.202352940000001"/>
    <n v="99.99"/>
    <x v="7"/>
    <n v="1012"/>
    <n v="1"/>
    <n v="1200"/>
    <n v="4.2"/>
    <n v="33"/>
    <n v="20"/>
    <n v="10"/>
    <n v="2"/>
    <n v="4"/>
    <n v="2017"/>
    <n v="24.324324319999999"/>
    <n v="15750"/>
    <n v="99.99"/>
    <n v="4.2"/>
    <n v="14.202352940000001"/>
    <n v="129.99"/>
    <n v="4.3"/>
    <n v="17.396428570000001"/>
    <n v="99.99"/>
    <n v="4.2"/>
    <n v="14.202352940000001"/>
    <n v="99.99"/>
    <n v="99.99"/>
    <n v="99.99"/>
    <n v="14.621052631578948"/>
  </r>
  <r>
    <x v="43"/>
    <x v="4"/>
    <x v="0"/>
    <n v="22"/>
    <n v="2199.7800000000002"/>
    <n v="15.02090909"/>
    <n v="99.99"/>
    <x v="7"/>
    <n v="1012"/>
    <n v="1"/>
    <n v="1200"/>
    <n v="4.2"/>
    <n v="58"/>
    <n v="23"/>
    <n v="8"/>
    <n v="1"/>
    <n v="5"/>
    <n v="2017"/>
    <n v="19.819819819999999"/>
    <n v="15750"/>
    <n v="99.99"/>
    <n v="4.2"/>
    <n v="15.02090909"/>
    <n v="129.99"/>
    <n v="4.3"/>
    <n v="18.272777779999998"/>
    <n v="99.99"/>
    <n v="4.2"/>
    <n v="15.02090909"/>
    <n v="99.99"/>
    <n v="99.990000000000009"/>
    <n v="99.99"/>
    <n v="14.625218914185639"/>
  </r>
  <r>
    <x v="43"/>
    <x v="4"/>
    <x v="1"/>
    <n v="14"/>
    <n v="1399.86"/>
    <n v="13.826428569999999"/>
    <n v="99.99"/>
    <x v="7"/>
    <n v="1012"/>
    <n v="1"/>
    <n v="1200"/>
    <n v="4.2"/>
    <n v="42"/>
    <n v="22"/>
    <n v="8"/>
    <n v="1"/>
    <n v="6"/>
    <n v="2017"/>
    <n v="12.612612609999999"/>
    <n v="15750"/>
    <n v="99.99"/>
    <n v="4.2"/>
    <n v="13.826428569999999"/>
    <n v="129.99"/>
    <n v="4.3"/>
    <n v="17.061176469999999"/>
    <n v="99.99"/>
    <n v="4.2"/>
    <n v="13.826428569999999"/>
    <n v="99.99"/>
    <n v="99.99"/>
    <n v="99.990000000000009"/>
    <n v="14.638111888111888"/>
  </r>
  <r>
    <x v="43"/>
    <x v="4"/>
    <x v="2"/>
    <n v="11"/>
    <n v="1099.8900000000001"/>
    <n v="16.529090910000001"/>
    <n v="99.99"/>
    <x v="7"/>
    <n v="1012"/>
    <n v="1"/>
    <n v="1200"/>
    <n v="4.2"/>
    <n v="42"/>
    <n v="21"/>
    <n v="10"/>
    <n v="1"/>
    <n v="7"/>
    <n v="2017"/>
    <n v="9.9099099099999997"/>
    <n v="15750"/>
    <n v="99.99"/>
    <n v="4.2"/>
    <n v="16.529090910000001"/>
    <n v="129.99"/>
    <n v="4.3"/>
    <n v="18.715624999999999"/>
    <n v="99.99"/>
    <n v="4.2"/>
    <n v="16.529090910000001"/>
    <n v="99.99"/>
    <n v="99.990000000000009"/>
    <n v="99.99"/>
    <n v="14.636998254799302"/>
  </r>
  <r>
    <x v="43"/>
    <x v="4"/>
    <x v="3"/>
    <n v="14"/>
    <n v="1399.86"/>
    <n v="18.975000000000001"/>
    <n v="99.99"/>
    <x v="7"/>
    <n v="1012"/>
    <n v="1"/>
    <n v="1200"/>
    <n v="4.2"/>
    <n v="39"/>
    <n v="23"/>
    <n v="8"/>
    <n v="1"/>
    <n v="8"/>
    <n v="2017"/>
    <n v="12.612612609999999"/>
    <n v="15750"/>
    <n v="99.99"/>
    <n v="4.2"/>
    <n v="18.975000000000001"/>
    <n v="116.92749999999999"/>
    <n v="4.3"/>
    <n v="19.021249999999998"/>
    <n v="99.99"/>
    <n v="4.2"/>
    <n v="18.975000000000001"/>
    <n v="99.99"/>
    <n v="99.99"/>
    <n v="99.990000000000009"/>
    <n v="14.630662020905923"/>
  </r>
  <r>
    <x v="43"/>
    <x v="4"/>
    <x v="4"/>
    <n v="3"/>
    <n v="299.97000000000003"/>
    <n v="15.93333333"/>
    <n v="99.99"/>
    <x v="7"/>
    <n v="1012"/>
    <n v="1"/>
    <n v="1200"/>
    <n v="4.2"/>
    <n v="10"/>
    <n v="21"/>
    <n v="9"/>
    <n v="1"/>
    <n v="9"/>
    <n v="2017"/>
    <n v="2.7027027029999999"/>
    <n v="15750"/>
    <n v="99.99"/>
    <n v="4.2"/>
    <n v="15.93333333"/>
    <n v="99.99"/>
    <n v="4.2"/>
    <n v="15.93333333"/>
    <n v="29.5"/>
    <n v="4.4000000000000004"/>
    <n v="11.73"/>
    <n v="99.99"/>
    <n v="99.990000000000009"/>
    <n v="99.99"/>
    <n v="14.629565217391304"/>
  </r>
  <r>
    <x v="43"/>
    <x v="4"/>
    <x v="5"/>
    <n v="2"/>
    <n v="199.98"/>
    <n v="16.95"/>
    <n v="99.99"/>
    <x v="7"/>
    <n v="1012"/>
    <n v="1"/>
    <n v="1200"/>
    <n v="4.2"/>
    <n v="33"/>
    <n v="22"/>
    <n v="9"/>
    <n v="2"/>
    <n v="10"/>
    <n v="2017"/>
    <n v="1.801801802"/>
    <n v="15750"/>
    <n v="99.99"/>
    <n v="4.2"/>
    <n v="16.95"/>
    <n v="119.99"/>
    <n v="4.3"/>
    <n v="19.997"/>
    <n v="99.99"/>
    <n v="4.2"/>
    <n v="16.95"/>
    <n v="99.99"/>
    <n v="99.99"/>
    <n v="99.990000000000009"/>
    <n v="14.609375"/>
  </r>
  <r>
    <x v="43"/>
    <x v="4"/>
    <x v="6"/>
    <n v="4"/>
    <n v="399.96"/>
    <n v="16.1875"/>
    <n v="99.99"/>
    <x v="7"/>
    <n v="1012"/>
    <n v="1"/>
    <n v="1200"/>
    <n v="4.2"/>
    <n v="42"/>
    <n v="22"/>
    <n v="8"/>
    <n v="4"/>
    <n v="11"/>
    <n v="2017"/>
    <n v="3.6036036039999999"/>
    <n v="15750"/>
    <n v="99.99"/>
    <n v="4.2"/>
    <n v="16.1875"/>
    <n v="129.99"/>
    <n v="4.3"/>
    <n v="22.674444439999998"/>
    <n v="99.99"/>
    <n v="4.2"/>
    <n v="16.1875"/>
    <n v="99.99"/>
    <n v="99.99"/>
    <n v="99.99"/>
    <n v="14.587521663778164"/>
  </r>
  <r>
    <x v="43"/>
    <x v="4"/>
    <x v="7"/>
    <n v="3"/>
    <n v="299.97000000000003"/>
    <n v="15.266666669999999"/>
    <n v="99.99"/>
    <x v="7"/>
    <n v="1012"/>
    <n v="1"/>
    <n v="1200"/>
    <n v="4.2"/>
    <n v="38"/>
    <n v="21"/>
    <n v="10"/>
    <n v="1"/>
    <n v="12"/>
    <n v="2017"/>
    <n v="2.7027027029999999"/>
    <n v="15750"/>
    <n v="99.99"/>
    <n v="4.2"/>
    <n v="15.266666669999999"/>
    <n v="129.99"/>
    <n v="4.3"/>
    <n v="25.59"/>
    <n v="99.99"/>
    <n v="4.2"/>
    <n v="15.266666669999999"/>
    <n v="99.99"/>
    <n v="99.990000000000009"/>
    <n v="99.99"/>
    <n v="14.569204152249135"/>
  </r>
  <r>
    <x v="43"/>
    <x v="4"/>
    <x v="8"/>
    <n v="3"/>
    <n v="299.97000000000003"/>
    <n v="16.54"/>
    <n v="99.99"/>
    <x v="7"/>
    <n v="1012"/>
    <n v="1"/>
    <n v="1200"/>
    <n v="4.2"/>
    <n v="102"/>
    <n v="23"/>
    <n v="8"/>
    <n v="2"/>
    <n v="1"/>
    <n v="2018"/>
    <n v="33.333333330000002"/>
    <n v="15750"/>
    <n v="99.99"/>
    <n v="4.2"/>
    <n v="16.54"/>
    <n v="129.99"/>
    <n v="4.3"/>
    <n v="17.41"/>
    <n v="29.5"/>
    <n v="4.4000000000000004"/>
    <n v="16.53263158"/>
    <n v="99.99"/>
    <n v="99.990000000000009"/>
    <n v="99.990000000000009"/>
    <n v="14.549222797927461"/>
  </r>
  <r>
    <x v="43"/>
    <x v="4"/>
    <x v="9"/>
    <n v="1"/>
    <n v="99.99"/>
    <n v="13.72"/>
    <n v="99.99"/>
    <x v="7"/>
    <n v="1012"/>
    <n v="1"/>
    <n v="1200"/>
    <n v="4.2"/>
    <n v="20"/>
    <n v="20"/>
    <n v="8"/>
    <n v="2"/>
    <n v="2"/>
    <n v="2018"/>
    <n v="8.7087087089999997"/>
    <n v="15750"/>
    <n v="99.99"/>
    <n v="4.2"/>
    <n v="13.72"/>
    <n v="129.99"/>
    <n v="4.3"/>
    <n v="16.71"/>
    <n v="99.99"/>
    <n v="4.2"/>
    <n v="13.72"/>
    <n v="99.99"/>
    <n v="99.99"/>
    <n v="99.990000000000009"/>
    <n v="14.529310344827586"/>
  </r>
  <r>
    <x v="43"/>
    <x v="4"/>
    <x v="10"/>
    <n v="2"/>
    <n v="199.98"/>
    <n v="20.78"/>
    <n v="99.99"/>
    <x v="7"/>
    <n v="1012"/>
    <n v="1"/>
    <n v="1200"/>
    <n v="4.2"/>
    <n v="45"/>
    <n v="22"/>
    <n v="9"/>
    <n v="1"/>
    <n v="3"/>
    <n v="2018"/>
    <n v="17.41741742"/>
    <n v="15750"/>
    <n v="99.99"/>
    <n v="4.2"/>
    <n v="20.78"/>
    <n v="129.99"/>
    <n v="4.3"/>
    <n v="18.489999999999998"/>
    <n v="35"/>
    <n v="4.4000000000000004"/>
    <n v="16.25615385"/>
    <n v="99.99"/>
    <n v="99.99"/>
    <n v="99.99"/>
    <n v="14.506024096385541"/>
  </r>
  <r>
    <x v="43"/>
    <x v="4"/>
    <x v="11"/>
    <n v="3"/>
    <n v="269.58999999999997"/>
    <n v="19.876666669999999"/>
    <n v="89.863333330000003"/>
    <x v="7"/>
    <n v="1012"/>
    <n v="1"/>
    <n v="1200"/>
    <n v="4.2"/>
    <n v="18"/>
    <n v="21"/>
    <n v="9"/>
    <n v="1"/>
    <n v="4"/>
    <n v="2018"/>
    <n v="24.324324319999999"/>
    <n v="15750"/>
    <n v="89.863333330000003"/>
    <n v="4.2"/>
    <n v="19.876666669999999"/>
    <n v="129.99"/>
    <n v="4.3"/>
    <n v="23.49"/>
    <n v="35"/>
    <n v="4.4000000000000004"/>
    <n v="14.845000000000001"/>
    <n v="99.99"/>
    <n v="89.86333333333333"/>
    <n v="99.99"/>
    <n v="14.484536082474227"/>
  </r>
  <r>
    <x v="44"/>
    <x v="6"/>
    <x v="18"/>
    <n v="3"/>
    <n v="479.97"/>
    <n v="33.4"/>
    <n v="159.99"/>
    <x v="8"/>
    <n v="1893"/>
    <n v="1"/>
    <n v="6550"/>
    <n v="4.2"/>
    <n v="3"/>
    <n v="20"/>
    <n v="8"/>
    <n v="2"/>
    <n v="2"/>
    <n v="2017"/>
    <n v="7.889030612"/>
    <n v="8000"/>
    <n v="159.99"/>
    <n v="4.2"/>
    <n v="33.4"/>
    <n v="159.99"/>
    <n v="4.2"/>
    <n v="33.4"/>
    <n v="159.99"/>
    <n v="4.2"/>
    <n v="33.4"/>
    <n v="159.94"/>
    <n v="159.99"/>
    <s v=""/>
    <n v="14.464837049742711"/>
  </r>
  <r>
    <x v="44"/>
    <x v="6"/>
    <x v="16"/>
    <n v="3"/>
    <n v="479.97"/>
    <n v="33.4"/>
    <n v="159.99"/>
    <x v="8"/>
    <n v="1893"/>
    <n v="1"/>
    <n v="6550"/>
    <n v="4.2"/>
    <n v="3"/>
    <n v="23"/>
    <n v="8"/>
    <n v="1"/>
    <n v="3"/>
    <n v="2017"/>
    <n v="10.542091839999999"/>
    <n v="8000"/>
    <n v="159.99"/>
    <n v="4.2"/>
    <n v="33.4"/>
    <n v="159.99"/>
    <n v="4.2"/>
    <n v="33.4"/>
    <n v="159.99"/>
    <n v="4.2"/>
    <n v="33.4"/>
    <n v="159.99"/>
    <n v="159.99"/>
    <n v="159.99"/>
    <n v="14.445205479452055"/>
  </r>
  <r>
    <x v="44"/>
    <x v="6"/>
    <x v="17"/>
    <n v="5"/>
    <n v="699.95"/>
    <n v="35.122"/>
    <n v="139.99"/>
    <x v="8"/>
    <n v="1893"/>
    <n v="1"/>
    <n v="6550"/>
    <n v="4.2"/>
    <n v="5"/>
    <n v="20"/>
    <n v="10"/>
    <n v="2"/>
    <n v="4"/>
    <n v="2017"/>
    <n v="14.0327381"/>
    <n v="8000"/>
    <n v="139.99"/>
    <n v="4.2"/>
    <n v="35.122"/>
    <n v="139.99"/>
    <n v="4.2"/>
    <n v="35.122"/>
    <n v="139.99"/>
    <n v="4.2"/>
    <n v="35.122"/>
    <n v="159.99"/>
    <n v="139.99"/>
    <n v="159.99"/>
    <n v="14.425641025641026"/>
  </r>
  <r>
    <x v="44"/>
    <x v="6"/>
    <x v="1"/>
    <n v="3"/>
    <n v="479.97"/>
    <n v="42.033333329999998"/>
    <n v="159.99"/>
    <x v="8"/>
    <n v="1893"/>
    <n v="1"/>
    <n v="6550"/>
    <n v="4.2"/>
    <n v="15"/>
    <n v="22"/>
    <n v="8"/>
    <n v="1"/>
    <n v="6"/>
    <n v="2017"/>
    <n v="7.0727040819999996"/>
    <n v="8000"/>
    <n v="159.99"/>
    <n v="4.2"/>
    <n v="42.033333329999998"/>
    <n v="159.99"/>
    <n v="4.2"/>
    <n v="42.033333329999998"/>
    <n v="159.99"/>
    <n v="4.2"/>
    <n v="42.033333329999998"/>
    <n v="159.94"/>
    <n v="159.99"/>
    <n v="139.99"/>
    <n v="14.409556313993175"/>
  </r>
  <r>
    <x v="44"/>
    <x v="6"/>
    <x v="2"/>
    <n v="6"/>
    <n v="839.94"/>
    <n v="48.108333330000001"/>
    <n v="139.99"/>
    <x v="8"/>
    <n v="1893"/>
    <n v="1"/>
    <n v="6550"/>
    <n v="4.2"/>
    <n v="17"/>
    <n v="21"/>
    <n v="10"/>
    <n v="1"/>
    <n v="7"/>
    <n v="2017"/>
    <n v="4.9617346939999996"/>
    <n v="8000"/>
    <n v="139.99"/>
    <n v="4.2"/>
    <n v="48.108333330000001"/>
    <n v="139.99"/>
    <n v="4.2"/>
    <n v="48.108333330000001"/>
    <n v="139.99"/>
    <n v="4.2"/>
    <n v="48.108333330000001"/>
    <n v="159.99"/>
    <n v="139.99"/>
    <n v="159.99"/>
    <n v="14.390119250425894"/>
  </r>
  <r>
    <x v="44"/>
    <x v="6"/>
    <x v="3"/>
    <n v="7"/>
    <n v="1019.93"/>
    <n v="36.46"/>
    <n v="145.70428570000001"/>
    <x v="8"/>
    <n v="1893"/>
    <n v="1"/>
    <n v="6550"/>
    <n v="4.2"/>
    <n v="15"/>
    <n v="23"/>
    <n v="8"/>
    <n v="1"/>
    <n v="8"/>
    <n v="2017"/>
    <n v="5.6866496599999996"/>
    <n v="8000"/>
    <n v="145.70428570000001"/>
    <n v="4.2"/>
    <n v="36.46"/>
    <n v="145.70428570000001"/>
    <n v="4.2"/>
    <n v="36.46"/>
    <n v="145.70428570000001"/>
    <n v="4.2"/>
    <n v="36.46"/>
    <n v="139.99"/>
    <n v="145.7042857142857"/>
    <n v="139.99"/>
    <n v="14.375850340136054"/>
  </r>
  <r>
    <x v="44"/>
    <x v="6"/>
    <x v="4"/>
    <n v="11"/>
    <n v="1679.89"/>
    <n v="43.72272727"/>
    <n v="151.99"/>
    <x v="8"/>
    <n v="1893"/>
    <n v="1"/>
    <n v="6550"/>
    <n v="4.2"/>
    <n v="15"/>
    <n v="21"/>
    <n v="9"/>
    <n v="1"/>
    <n v="9"/>
    <n v="2017"/>
    <n v="11.45833333"/>
    <n v="8000"/>
    <n v="151.99"/>
    <n v="4.2"/>
    <n v="43.72272727"/>
    <n v="151.99"/>
    <n v="4.2"/>
    <n v="43.72272727"/>
    <n v="151.99"/>
    <n v="4.2"/>
    <n v="43.72272727"/>
    <n v="145.70428570000001"/>
    <n v="152.71727272727273"/>
    <n v="145.7042857142857"/>
    <n v="14.363327674023768"/>
  </r>
  <r>
    <x v="44"/>
    <x v="6"/>
    <x v="5"/>
    <n v="17"/>
    <n v="2629.83"/>
    <n v="43.88117647"/>
    <n v="154.69588239999999"/>
    <x v="8"/>
    <n v="1893"/>
    <n v="1"/>
    <n v="6550"/>
    <n v="4.2"/>
    <n v="31"/>
    <n v="22"/>
    <n v="9"/>
    <n v="2"/>
    <n v="10"/>
    <n v="2017"/>
    <n v="17.708333329999999"/>
    <n v="8000"/>
    <n v="154.69588239999999"/>
    <n v="4.2"/>
    <n v="43.88117647"/>
    <n v="154.69588239999999"/>
    <n v="4.2"/>
    <n v="43.88117647"/>
    <n v="154.69588239999999"/>
    <n v="4.2"/>
    <n v="43.88117647"/>
    <n v="151.99"/>
    <n v="154.69588235294117"/>
    <n v="152.71727272727273"/>
    <n v="14.357627118644068"/>
  </r>
  <r>
    <x v="44"/>
    <x v="6"/>
    <x v="6"/>
    <n v="18"/>
    <n v="2699.82"/>
    <n v="42.517222220000001"/>
    <n v="149.99"/>
    <x v="8"/>
    <n v="1893"/>
    <n v="1"/>
    <n v="6550"/>
    <n v="4.2"/>
    <n v="36"/>
    <n v="22"/>
    <n v="8"/>
    <n v="4"/>
    <n v="11"/>
    <n v="2017"/>
    <n v="18.75"/>
    <n v="8000"/>
    <n v="149.99"/>
    <n v="4.2"/>
    <n v="42.517222220000001"/>
    <n v="149.99"/>
    <n v="4.2"/>
    <n v="42.517222220000001"/>
    <n v="109.9"/>
    <n v="3.5"/>
    <n v="15.52"/>
    <n v="154.69588239999999"/>
    <n v="149.99"/>
    <n v="154.69588235294117"/>
    <n v="14.362098138747886"/>
  </r>
  <r>
    <x v="44"/>
    <x v="6"/>
    <x v="7"/>
    <n v="23"/>
    <n v="3449.77"/>
    <n v="38.57"/>
    <n v="149.99"/>
    <x v="8"/>
    <n v="1893"/>
    <n v="1"/>
    <n v="6550"/>
    <n v="4.2"/>
    <n v="35"/>
    <n v="21"/>
    <n v="10"/>
    <n v="1"/>
    <n v="12"/>
    <n v="2017"/>
    <n v="23.958333329999999"/>
    <n v="8000"/>
    <n v="149.99"/>
    <n v="4.2"/>
    <n v="38.57"/>
    <n v="149.99"/>
    <n v="4.2"/>
    <n v="38.57"/>
    <n v="109.9"/>
    <n v="3.5"/>
    <n v="25.249166670000001"/>
    <n v="149.99"/>
    <n v="149.99"/>
    <n v="149.99"/>
    <n v="14.368243243243244"/>
  </r>
  <r>
    <x v="44"/>
    <x v="6"/>
    <x v="8"/>
    <n v="43"/>
    <n v="6746.9"/>
    <n v="36.807209299999997"/>
    <n v="156.5113514"/>
    <x v="8"/>
    <n v="1893"/>
    <n v="1"/>
    <n v="6550"/>
    <n v="4.2"/>
    <n v="152"/>
    <n v="23"/>
    <n v="8"/>
    <n v="2"/>
    <n v="1"/>
    <n v="2018"/>
    <n v="17.55102041"/>
    <n v="8000"/>
    <n v="156.5113514"/>
    <n v="4.2"/>
    <n v="36.807209299999997"/>
    <n v="150.3545455"/>
    <n v="4.3"/>
    <n v="22.547727269999999"/>
    <n v="97.642499999999998"/>
    <n v="3.5"/>
    <n v="14.846551720000001"/>
    <n v="149.99"/>
    <n v="156.90465116279069"/>
    <n v="149.99"/>
    <n v="14.382799325463743"/>
  </r>
  <r>
    <x v="44"/>
    <x v="6"/>
    <x v="9"/>
    <n v="31"/>
    <n v="4619"/>
    <n v="41.16322581"/>
    <n v="149"/>
    <x v="8"/>
    <n v="1893"/>
    <n v="1"/>
    <n v="6550"/>
    <n v="4.2"/>
    <n v="202"/>
    <n v="20"/>
    <n v="8"/>
    <n v="2"/>
    <n v="2"/>
    <n v="2018"/>
    <n v="7.889030612"/>
    <n v="8000"/>
    <n v="149"/>
    <n v="4.2"/>
    <n v="41.16322581"/>
    <n v="149.9"/>
    <n v="4.3"/>
    <n v="26.552898549999998"/>
    <n v="78.712280699999994"/>
    <n v="3.5"/>
    <n v="14.535915490000001"/>
    <n v="156.5113514"/>
    <n v="149"/>
    <n v="156.90465116279069"/>
    <n v="14.430976430976431"/>
  </r>
  <r>
    <x v="44"/>
    <x v="6"/>
    <x v="10"/>
    <n v="44"/>
    <n v="5986"/>
    <n v="48.047499999999999"/>
    <n v="136.14285709999999"/>
    <x v="8"/>
    <n v="1893"/>
    <n v="1"/>
    <n v="6550"/>
    <n v="4.2"/>
    <n v="127"/>
    <n v="22"/>
    <n v="9"/>
    <n v="1"/>
    <n v="3"/>
    <n v="2018"/>
    <n v="10.542091839999999"/>
    <n v="8000"/>
    <n v="136.14285709999999"/>
    <n v="4.2"/>
    <n v="48.047499999999999"/>
    <n v="149.9"/>
    <n v="4.3"/>
    <n v="28.475882349999999"/>
    <n v="81.023913039999996"/>
    <n v="3.5"/>
    <n v="18.221481480000001"/>
    <n v="149"/>
    <n v="136.04545454545453"/>
    <n v="149"/>
    <n v="14.458823529411765"/>
  </r>
  <r>
    <x v="44"/>
    <x v="6"/>
    <x v="11"/>
    <n v="56"/>
    <n v="6764"/>
    <n v="27.253035709999999"/>
    <n v="120.9230769"/>
    <x v="8"/>
    <n v="1893"/>
    <n v="1"/>
    <n v="6550"/>
    <n v="4.2"/>
    <n v="107"/>
    <n v="21"/>
    <n v="9"/>
    <n v="1"/>
    <n v="4"/>
    <n v="2018"/>
    <n v="14.0327381"/>
    <n v="8000"/>
    <n v="120.9230769"/>
    <n v="4.2"/>
    <n v="27.253035709999999"/>
    <n v="149.9"/>
    <n v="4.3"/>
    <n v="30.227428570000001"/>
    <n v="80.666666669999998"/>
    <n v="3.5"/>
    <n v="18.17230769"/>
    <n v="136.14285709999999"/>
    <n v="120.78571428571429"/>
    <n v="136.04545454545453"/>
    <n v="14.508389261744966"/>
  </r>
  <r>
    <x v="44"/>
    <x v="6"/>
    <x v="12"/>
    <n v="25"/>
    <n v="2975"/>
    <n v="39.217199999999998"/>
    <n v="119"/>
    <x v="8"/>
    <n v="1893"/>
    <n v="1"/>
    <n v="6550"/>
    <n v="4.2"/>
    <n v="78"/>
    <n v="23"/>
    <n v="8"/>
    <n v="3"/>
    <n v="5"/>
    <n v="2018"/>
    <n v="10.204081629999999"/>
    <n v="8000"/>
    <n v="119"/>
    <n v="4.2"/>
    <n v="39.217199999999998"/>
    <n v="149.9"/>
    <n v="4.3"/>
    <n v="18.943076919999999"/>
    <n v="79.8"/>
    <n v="3.5"/>
    <n v="14.41454545"/>
    <n v="120.9230769"/>
    <n v="119"/>
    <n v="120.78571428571429"/>
    <n v="14.577889447236181"/>
  </r>
  <r>
    <x v="44"/>
    <x v="6"/>
    <x v="13"/>
    <n v="27"/>
    <n v="3086.76"/>
    <n v="53.625555560000002"/>
    <n v="114.49115380000001"/>
    <x v="8"/>
    <n v="1893"/>
    <n v="1"/>
    <n v="6550"/>
    <n v="4.2"/>
    <n v="66"/>
    <n v="21"/>
    <n v="9"/>
    <n v="0"/>
    <n v="6"/>
    <n v="2018"/>
    <n v="7.0727040819999996"/>
    <n v="8000"/>
    <n v="114.49115380000001"/>
    <n v="4.2"/>
    <n v="53.625555560000002"/>
    <n v="149.9"/>
    <n v="4.3"/>
    <n v="27.626666669999999"/>
    <n v="78.900000000000006"/>
    <n v="3.5"/>
    <n v="17.327999999999999"/>
    <n v="119"/>
    <n v="114.32444444444445"/>
    <n v="119"/>
    <n v="14.595317725752508"/>
  </r>
  <r>
    <x v="44"/>
    <x v="6"/>
    <x v="14"/>
    <n v="9"/>
    <n v="1079.9100000000001"/>
    <n v="48.626666669999999"/>
    <n v="119.99"/>
    <x v="8"/>
    <n v="1893"/>
    <n v="1"/>
    <n v="6550"/>
    <n v="4.2"/>
    <n v="43"/>
    <n v="22"/>
    <n v="9"/>
    <n v="1"/>
    <n v="7"/>
    <n v="2018"/>
    <n v="4.9617346939999996"/>
    <n v="8000"/>
    <n v="119.99"/>
    <n v="4.2"/>
    <n v="48.626666669999999"/>
    <n v="149.9"/>
    <n v="4.3"/>
    <n v="33.571538459999999"/>
    <n v="77.900000000000006"/>
    <n v="3.5"/>
    <n v="14.638571430000001"/>
    <n v="114.49115380000001"/>
    <n v="119.99000000000001"/>
    <n v="114.32444444444445"/>
    <n v="14.616026711185309"/>
  </r>
  <r>
    <x v="44"/>
    <x v="6"/>
    <x v="15"/>
    <n v="10"/>
    <n v="1199.9000000000001"/>
    <n v="39.045999999999999"/>
    <n v="119.99"/>
    <x v="8"/>
    <n v="1893"/>
    <n v="1"/>
    <n v="6550"/>
    <n v="4.2"/>
    <n v="18"/>
    <n v="23"/>
    <n v="8"/>
    <n v="1"/>
    <n v="8"/>
    <n v="2018"/>
    <n v="5.6866496599999996"/>
    <n v="8000"/>
    <n v="119.99"/>
    <n v="4.2"/>
    <n v="39.045999999999999"/>
    <n v="149.9"/>
    <n v="4.3"/>
    <n v="24.76"/>
    <n v="77.900000000000006"/>
    <n v="3.5"/>
    <n v="13.414999999999999"/>
    <n v="119.99"/>
    <n v="119.99000000000001"/>
    <n v="119.99000000000001"/>
    <n v="14.606666666666667"/>
  </r>
  <r>
    <x v="45"/>
    <x v="7"/>
    <x v="3"/>
    <n v="2"/>
    <n v="678"/>
    <n v="13.845000000000001"/>
    <n v="339"/>
    <x v="22"/>
    <n v="501"/>
    <n v="4"/>
    <n v="363"/>
    <n v="3.7"/>
    <n v="48"/>
    <n v="23"/>
    <n v="8"/>
    <n v="1"/>
    <n v="8"/>
    <n v="2017"/>
    <n v="6.0606060609999997"/>
    <n v="3042"/>
    <n v="160.66923080000001"/>
    <n v="4.2"/>
    <n v="15.185384620000001"/>
    <n v="339"/>
    <n v="3.7"/>
    <n v="13.845000000000001"/>
    <n v="179.9"/>
    <n v="3.8"/>
    <n v="14.926666669999999"/>
    <n v="338.95"/>
    <n v="339"/>
    <s v=""/>
    <n v="14.59900166389351"/>
  </r>
  <r>
    <x v="45"/>
    <x v="7"/>
    <x v="4"/>
    <n v="1"/>
    <n v="339"/>
    <n v="13.94"/>
    <n v="339"/>
    <x v="22"/>
    <n v="501"/>
    <n v="4"/>
    <n v="363"/>
    <n v="3.7"/>
    <n v="54"/>
    <n v="21"/>
    <n v="9"/>
    <n v="1"/>
    <n v="9"/>
    <n v="2017"/>
    <n v="3.0303030299999998"/>
    <n v="3042"/>
    <n v="148.7785714"/>
    <n v="4.2"/>
    <n v="14.041111109999999"/>
    <n v="339"/>
    <n v="3.7"/>
    <n v="13.94"/>
    <n v="164.57"/>
    <n v="3.8"/>
    <n v="19.527999999999999"/>
    <n v="339"/>
    <n v="339"/>
    <n v="339"/>
    <n v="14.578073089700997"/>
  </r>
  <r>
    <x v="45"/>
    <x v="7"/>
    <x v="5"/>
    <n v="10"/>
    <n v="3461.58"/>
    <n v="13.455"/>
    <n v="346.15800000000002"/>
    <x v="22"/>
    <n v="501"/>
    <n v="4"/>
    <n v="363"/>
    <n v="3.7"/>
    <n v="43"/>
    <n v="22"/>
    <n v="9"/>
    <n v="2"/>
    <n v="10"/>
    <n v="2017"/>
    <n v="30.3030303"/>
    <n v="3042"/>
    <n v="134.9"/>
    <n v="4.2"/>
    <n v="6.81"/>
    <n v="346.15800000000002"/>
    <n v="3.7"/>
    <n v="13.455"/>
    <n v="232.49"/>
    <n v="3.8"/>
    <n v="14.2125"/>
    <n v="339"/>
    <n v="346.15800000000002"/>
    <n v="339"/>
    <n v="14.555555555555555"/>
  </r>
  <r>
    <x v="45"/>
    <x v="7"/>
    <x v="6"/>
    <n v="9"/>
    <n v="3111.36"/>
    <n v="14.275555560000001"/>
    <n v="345.70666670000003"/>
    <x v="22"/>
    <n v="501"/>
    <n v="4"/>
    <n v="363"/>
    <n v="3.7"/>
    <n v="91"/>
    <n v="22"/>
    <n v="8"/>
    <n v="4"/>
    <n v="11"/>
    <n v="2017"/>
    <n v="27.272727270000001"/>
    <n v="3042"/>
    <n v="133"/>
    <n v="4.2"/>
    <n v="19.916666670000001"/>
    <n v="108"/>
    <n v="4.2"/>
    <n v="15.908461539999999"/>
    <n v="174.43333329999999"/>
    <n v="3.8"/>
    <n v="20.992777780000001"/>
    <n v="346.15800000000002"/>
    <n v="345.70666666666671"/>
    <n v="346.15800000000002"/>
    <n v="14.548013245033113"/>
  </r>
  <r>
    <x v="45"/>
    <x v="7"/>
    <x v="7"/>
    <n v="11"/>
    <n v="3836.8"/>
    <n v="16.102727269999999"/>
    <n v="348.8"/>
    <x v="22"/>
    <n v="501"/>
    <n v="4"/>
    <n v="363"/>
    <n v="3.7"/>
    <n v="73"/>
    <n v="21"/>
    <n v="10"/>
    <n v="1"/>
    <n v="12"/>
    <n v="2017"/>
    <n v="33.333333330000002"/>
    <n v="3042"/>
    <n v="149"/>
    <n v="4.2"/>
    <n v="19.100000000000001"/>
    <n v="108"/>
    <n v="4.2"/>
    <n v="16.65384615"/>
    <n v="185.96"/>
    <n v="3.8"/>
    <n v="18.686"/>
    <n v="345.70666670000003"/>
    <n v="348.8"/>
    <n v="345.70666666666671"/>
    <n v="14.538842975206611"/>
  </r>
  <r>
    <x v="45"/>
    <x v="7"/>
    <x v="8"/>
    <n v="1"/>
    <n v="339.9"/>
    <n v="17.13"/>
    <n v="339.9"/>
    <x v="22"/>
    <n v="501"/>
    <n v="4"/>
    <n v="363"/>
    <n v="3.7"/>
    <n v="59"/>
    <n v="23"/>
    <n v="8"/>
    <n v="2"/>
    <n v="1"/>
    <n v="2018"/>
    <n v="1.111111111"/>
    <n v="3042"/>
    <n v="339.9"/>
    <n v="3.7"/>
    <n v="17.13"/>
    <n v="108"/>
    <n v="4.2"/>
    <n v="16.196363640000001"/>
    <n v="199"/>
    <n v="3.8"/>
    <n v="21.88"/>
    <n v="348.8"/>
    <n v="339.9"/>
    <n v="348.8"/>
    <n v="14.533003300330034"/>
  </r>
  <r>
    <x v="45"/>
    <x v="7"/>
    <x v="9"/>
    <n v="5"/>
    <n v="1735"/>
    <n v="17.175999999999998"/>
    <n v="347"/>
    <x v="22"/>
    <n v="501"/>
    <n v="4"/>
    <n v="363"/>
    <n v="3.7"/>
    <n v="90"/>
    <n v="20"/>
    <n v="8"/>
    <n v="2"/>
    <n v="2"/>
    <n v="2018"/>
    <n v="5.5555555559999998"/>
    <n v="3042"/>
    <n v="128.2416667"/>
    <n v="4.2"/>
    <n v="15.926666669999999"/>
    <n v="108"/>
    <n v="4.2"/>
    <n v="18.253636360000002"/>
    <n v="182"/>
    <n v="3.8"/>
    <n v="19.329999999999998"/>
    <n v="339.9"/>
    <n v="347"/>
    <n v="339.9"/>
    <n v="14.510708401976936"/>
  </r>
  <r>
    <x v="45"/>
    <x v="7"/>
    <x v="10"/>
    <n v="6"/>
    <n v="1847"/>
    <n v="18.223333329999999"/>
    <n v="307.83333329999999"/>
    <x v="22"/>
    <n v="501"/>
    <n v="4"/>
    <n v="363"/>
    <n v="3.7"/>
    <n v="125"/>
    <n v="22"/>
    <n v="9"/>
    <n v="1"/>
    <n v="3"/>
    <n v="2018"/>
    <n v="6.6666666670000003"/>
    <n v="3042"/>
    <n v="117.44129030000001"/>
    <n v="4.2"/>
    <n v="18.261290320000001"/>
    <n v="105.6428571"/>
    <n v="4.2"/>
    <n v="21.6652381"/>
    <n v="151.87843749999999"/>
    <n v="3.8"/>
    <n v="20.313749999999999"/>
    <n v="347"/>
    <n v="307.83333333333331"/>
    <n v="347"/>
    <n v="14.495065789473685"/>
  </r>
  <r>
    <x v="45"/>
    <x v="7"/>
    <x v="11"/>
    <n v="6"/>
    <n v="1684"/>
    <n v="18.168333329999999"/>
    <n v="280.66666670000001"/>
    <x v="22"/>
    <n v="501"/>
    <n v="4"/>
    <n v="363"/>
    <n v="3.7"/>
    <n v="178"/>
    <n v="21"/>
    <n v="9"/>
    <n v="1"/>
    <n v="4"/>
    <n v="2018"/>
    <n v="6.6666666670000003"/>
    <n v="3042"/>
    <n v="105.648625"/>
    <n v="4.2"/>
    <n v="2.1816470589999999"/>
    <n v="105"/>
    <n v="4.2"/>
    <n v="13.631428570000001"/>
    <n v="150.1333333"/>
    <n v="3.8"/>
    <n v="19.447777779999999"/>
    <n v="307.83333329999999"/>
    <n v="280.66666666666669"/>
    <n v="307.83333333333331"/>
    <n v="14.481116584564861"/>
  </r>
  <r>
    <x v="45"/>
    <x v="7"/>
    <x v="12"/>
    <n v="23"/>
    <n v="5956.3"/>
    <n v="13.631304350000001"/>
    <n v="258.96956519999998"/>
    <x v="22"/>
    <n v="501"/>
    <n v="4"/>
    <n v="363"/>
    <n v="3.7"/>
    <n v="260"/>
    <n v="23"/>
    <n v="8"/>
    <n v="3"/>
    <n v="5"/>
    <n v="2018"/>
    <n v="25.555555559999998"/>
    <n v="3042"/>
    <n v="103.79252339999999"/>
    <n v="4.2"/>
    <n v="9.5438596000000001E-2"/>
    <n v="105"/>
    <n v="4.2"/>
    <n v="11.3772973"/>
    <n v="132.53125"/>
    <n v="3.8"/>
    <n v="15.7621875"/>
    <n v="280.66666670000001"/>
    <n v="258.96956521739133"/>
    <n v="280.66666666666669"/>
    <n v="14.467213114754099"/>
  </r>
  <r>
    <x v="45"/>
    <x v="7"/>
    <x v="13"/>
    <n v="4"/>
    <n v="983.6"/>
    <n v="14.795"/>
    <n v="245.9"/>
    <x v="22"/>
    <n v="501"/>
    <n v="4"/>
    <n v="363"/>
    <n v="3.7"/>
    <n v="93"/>
    <n v="21"/>
    <n v="9"/>
    <n v="0"/>
    <n v="6"/>
    <n v="2018"/>
    <n v="4.4444444440000002"/>
    <n v="3042"/>
    <n v="119"/>
    <n v="4.2"/>
    <n v="19.206666670000001"/>
    <n v="105"/>
    <n v="4.2"/>
    <n v="23.823571430000001"/>
    <n v="138.22"/>
    <n v="3.8"/>
    <n v="16.108000000000001"/>
    <n v="258.96956519999998"/>
    <n v="245.9"/>
    <n v="258.96956521739133"/>
    <n v="14.481178396072012"/>
  </r>
  <r>
    <x v="45"/>
    <x v="7"/>
    <x v="14"/>
    <n v="45"/>
    <n v="7651.27"/>
    <n v="17.953555560000002"/>
    <n v="169.3493182"/>
    <x v="22"/>
    <n v="501"/>
    <n v="4"/>
    <n v="363"/>
    <n v="3.7"/>
    <n v="122"/>
    <n v="22"/>
    <n v="9"/>
    <n v="1"/>
    <n v="7"/>
    <n v="2018"/>
    <n v="50"/>
    <n v="3042"/>
    <n v="118.3636364"/>
    <n v="4.2"/>
    <n v="15.48"/>
    <n v="105"/>
    <n v="4.2"/>
    <n v="24.938749999999999"/>
    <n v="155"/>
    <n v="3.8"/>
    <n v="16.47"/>
    <n v="245.9"/>
    <n v="170.02822222222224"/>
    <n v="245.9"/>
    <n v="14.464052287581699"/>
  </r>
  <r>
    <x v="46"/>
    <x v="6"/>
    <x v="0"/>
    <n v="15"/>
    <n v="2715.7"/>
    <n v="18.754666669999999"/>
    <n v="178.0571429"/>
    <x v="16"/>
    <n v="363"/>
    <n v="1"/>
    <n v="922"/>
    <n v="4.2"/>
    <n v="11"/>
    <n v="23"/>
    <n v="8"/>
    <n v="1"/>
    <n v="5"/>
    <n v="2017"/>
    <n v="15.78947368"/>
    <n v="7650"/>
    <n v="178.0571429"/>
    <n v="4.2"/>
    <n v="18.754666669999999"/>
    <n v="178.0571429"/>
    <n v="4.2"/>
    <n v="18.754666669999999"/>
    <n v="178.0571429"/>
    <n v="4.2"/>
    <n v="18.754666669999999"/>
    <n v="178.00714289999999"/>
    <n v="181.04666666666665"/>
    <s v=""/>
    <n v="14.513866231647635"/>
  </r>
  <r>
    <x v="46"/>
    <x v="6"/>
    <x v="1"/>
    <n v="15"/>
    <n v="2247.7199999999998"/>
    <n v="21.70066667"/>
    <n v="149.85249999999999"/>
    <x v="16"/>
    <n v="363"/>
    <n v="1"/>
    <n v="922"/>
    <n v="4.2"/>
    <n v="15"/>
    <n v="22"/>
    <n v="8"/>
    <n v="1"/>
    <n v="6"/>
    <n v="2017"/>
    <n v="15.78947368"/>
    <n v="7650"/>
    <n v="159.99"/>
    <n v="4.2"/>
    <n v="42.033333329999998"/>
    <n v="149.85249999999999"/>
    <n v="4.2"/>
    <n v="21.70066667"/>
    <n v="149.85249999999999"/>
    <n v="4.2"/>
    <n v="21.70066667"/>
    <n v="178.0571429"/>
    <n v="149.84799999999998"/>
    <n v="181.04666666666665"/>
    <n v="14.514657980456025"/>
  </r>
  <r>
    <x v="46"/>
    <x v="6"/>
    <x v="2"/>
    <n v="4"/>
    <n v="584.77"/>
    <n v="18.27"/>
    <n v="146.6"/>
    <x v="16"/>
    <n v="363"/>
    <n v="1"/>
    <n v="922"/>
    <n v="4.2"/>
    <n v="17"/>
    <n v="21"/>
    <n v="10"/>
    <n v="1"/>
    <n v="7"/>
    <n v="2017"/>
    <n v="4.2105263160000002"/>
    <n v="7650"/>
    <n v="139.99"/>
    <n v="4.2"/>
    <n v="48.108333330000001"/>
    <n v="146.6"/>
    <n v="4.2"/>
    <n v="18.27"/>
    <n v="146.6"/>
    <n v="4.2"/>
    <n v="18.27"/>
    <n v="149.85249999999999"/>
    <n v="146.1925"/>
    <n v="149.84799999999998"/>
    <n v="14.515447154471545"/>
  </r>
  <r>
    <x v="46"/>
    <x v="6"/>
    <x v="3"/>
    <n v="13"/>
    <n v="1884.45"/>
    <n v="19.285384619999999"/>
    <n v="144.96"/>
    <x v="16"/>
    <n v="363"/>
    <n v="1"/>
    <n v="922"/>
    <n v="4.2"/>
    <n v="15"/>
    <n v="23"/>
    <n v="8"/>
    <n v="1"/>
    <n v="8"/>
    <n v="2017"/>
    <n v="13.68421053"/>
    <n v="7650"/>
    <n v="145.70428570000001"/>
    <n v="4.2"/>
    <n v="36.46"/>
    <n v="144.96"/>
    <n v="4.2"/>
    <n v="19.285384619999999"/>
    <n v="144.96"/>
    <n v="4.2"/>
    <n v="19.285384619999999"/>
    <n v="146.6"/>
    <n v="144.9576923076923"/>
    <n v="146.1925"/>
    <n v="14.498376623376624"/>
  </r>
  <r>
    <x v="46"/>
    <x v="6"/>
    <x v="4"/>
    <n v="12"/>
    <n v="1656.87"/>
    <n v="35.922499999999999"/>
    <n v="138.59"/>
    <x v="16"/>
    <n v="363"/>
    <n v="1"/>
    <n v="922"/>
    <n v="4.2"/>
    <n v="15"/>
    <n v="21"/>
    <n v="9"/>
    <n v="1"/>
    <n v="9"/>
    <n v="2017"/>
    <n v="12.63157895"/>
    <n v="7650"/>
    <n v="151.99"/>
    <n v="4.2"/>
    <n v="43.72272727"/>
    <n v="138.59"/>
    <n v="4.2"/>
    <n v="35.922499999999999"/>
    <n v="138.59"/>
    <n v="4.2"/>
    <n v="35.922499999999999"/>
    <n v="144.96"/>
    <n v="138.07249999999999"/>
    <n v="144.9576923076923"/>
    <n v="14.495948136142626"/>
  </r>
  <r>
    <x v="46"/>
    <x v="6"/>
    <x v="5"/>
    <n v="16"/>
    <n v="2206.4"/>
    <n v="36.021875000000001"/>
    <n v="137.9"/>
    <x v="16"/>
    <n v="363"/>
    <n v="1"/>
    <n v="922"/>
    <n v="4.2"/>
    <n v="31"/>
    <n v="22"/>
    <n v="9"/>
    <n v="2"/>
    <n v="10"/>
    <n v="2017"/>
    <n v="16.84210526"/>
    <n v="7650"/>
    <n v="154.69588239999999"/>
    <n v="4.2"/>
    <n v="43.88117647"/>
    <n v="137.9"/>
    <n v="4.2"/>
    <n v="36.021875000000001"/>
    <n v="137.9"/>
    <n v="4.2"/>
    <n v="36.021875000000001"/>
    <n v="138.59"/>
    <n v="137.9"/>
    <n v="138.07249999999999"/>
    <n v="14.491909385113269"/>
  </r>
  <r>
    <x v="46"/>
    <x v="6"/>
    <x v="6"/>
    <n v="18"/>
    <n v="2482.1999999999998"/>
    <n v="39.398888890000002"/>
    <n v="137.9"/>
    <x v="16"/>
    <n v="363"/>
    <n v="1"/>
    <n v="922"/>
    <n v="4.2"/>
    <n v="36"/>
    <n v="22"/>
    <n v="8"/>
    <n v="4"/>
    <n v="11"/>
    <n v="2017"/>
    <n v="18.94736842"/>
    <n v="7650"/>
    <n v="149.99"/>
    <n v="4.2"/>
    <n v="42.517222220000001"/>
    <n v="137.9"/>
    <n v="4.2"/>
    <n v="39.398888890000002"/>
    <n v="109.9"/>
    <n v="3.5"/>
    <n v="15.52"/>
    <n v="137.9"/>
    <n v="137.89999999999998"/>
    <n v="137.9"/>
    <n v="14.494345718901455"/>
  </r>
  <r>
    <x v="46"/>
    <x v="6"/>
    <x v="7"/>
    <n v="2"/>
    <n v="269.8"/>
    <n v="38.78"/>
    <n v="134.9"/>
    <x v="16"/>
    <n v="363"/>
    <n v="1"/>
    <n v="922"/>
    <n v="4.2"/>
    <n v="35"/>
    <n v="21"/>
    <n v="10"/>
    <n v="1"/>
    <n v="12"/>
    <n v="2017"/>
    <n v="2.1052631580000001"/>
    <n v="7650"/>
    <n v="149.99"/>
    <n v="4.2"/>
    <n v="38.57"/>
    <n v="134.9"/>
    <n v="4.2"/>
    <n v="38.78"/>
    <n v="109.9"/>
    <n v="3.5"/>
    <n v="25.249166670000001"/>
    <n v="137.9"/>
    <n v="134.9"/>
    <n v="137.89999999999998"/>
    <n v="14.5"/>
  </r>
  <r>
    <x v="46"/>
    <x v="6"/>
    <x v="8"/>
    <n v="5"/>
    <n v="665"/>
    <n v="38.043999999999997"/>
    <n v="133"/>
    <x v="16"/>
    <n v="363"/>
    <n v="1"/>
    <n v="922"/>
    <n v="4.2"/>
    <n v="152"/>
    <n v="23"/>
    <n v="8"/>
    <n v="2"/>
    <n v="1"/>
    <n v="2018"/>
    <n v="62.5"/>
    <n v="7650"/>
    <n v="156.5113514"/>
    <n v="4.2"/>
    <n v="36.807209299999997"/>
    <n v="150.3545455"/>
    <n v="4.3"/>
    <n v="22.547727269999999"/>
    <n v="97.642499999999998"/>
    <n v="3.5"/>
    <n v="14.846551720000001"/>
    <n v="134.9"/>
    <n v="133"/>
    <n v="134.9"/>
    <n v="14.47987117552335"/>
  </r>
  <r>
    <x v="46"/>
    <x v="6"/>
    <x v="9"/>
    <n v="3"/>
    <n v="398.91"/>
    <n v="14.596666669999999"/>
    <n v="132.97"/>
    <x v="16"/>
    <n v="363"/>
    <n v="1"/>
    <n v="922"/>
    <n v="4.2"/>
    <n v="202"/>
    <n v="20"/>
    <n v="8"/>
    <n v="2"/>
    <n v="2"/>
    <n v="2018"/>
    <n v="37.5"/>
    <n v="7650"/>
    <n v="149"/>
    <n v="4.2"/>
    <n v="41.16322581"/>
    <n v="149.9"/>
    <n v="4.3"/>
    <n v="26.552898549999998"/>
    <n v="78.712280699999994"/>
    <n v="3.5"/>
    <n v="14.535915490000001"/>
    <n v="133"/>
    <n v="132.97"/>
    <n v="133"/>
    <n v="14.464630225080386"/>
  </r>
  <r>
    <x v="47"/>
    <x v="3"/>
    <x v="5"/>
    <n v="1"/>
    <n v="29.9"/>
    <n v="11.85"/>
    <n v="29.9"/>
    <x v="17"/>
    <n v="388"/>
    <n v="1"/>
    <n v="250"/>
    <n v="4.5"/>
    <n v="81"/>
    <n v="22"/>
    <n v="9"/>
    <n v="2"/>
    <n v="10"/>
    <n v="2017"/>
    <n v="7.692307692"/>
    <n v="1200"/>
    <n v="23.99"/>
    <n v="4.3"/>
    <n v="13.13666667"/>
    <n v="89.99"/>
    <n v="4.0999999999999996"/>
    <n v="16.56291667"/>
    <n v="58.99"/>
    <n v="3.9"/>
    <n v="19.065263160000001"/>
    <n v="29.85"/>
    <n v="29.9"/>
    <s v=""/>
    <n v="14.446227929373997"/>
  </r>
  <r>
    <x v="47"/>
    <x v="3"/>
    <x v="6"/>
    <n v="6"/>
    <n v="179.4"/>
    <n v="12.51"/>
    <n v="29.9"/>
    <x v="17"/>
    <n v="388"/>
    <n v="1"/>
    <n v="250"/>
    <n v="4.5"/>
    <n v="139"/>
    <n v="22"/>
    <n v="8"/>
    <n v="4"/>
    <n v="11"/>
    <n v="2017"/>
    <n v="46.15384615"/>
    <n v="1200"/>
    <n v="23.99"/>
    <n v="4.3"/>
    <n v="12.37535714"/>
    <n v="89.99"/>
    <n v="4.0999999999999996"/>
    <n v="16.99038462"/>
    <n v="58.99"/>
    <n v="3.9"/>
    <n v="15.71166667"/>
    <n v="29.9"/>
    <n v="29.900000000000002"/>
    <n v="29.9"/>
    <n v="14.424679487179487"/>
  </r>
  <r>
    <x v="47"/>
    <x v="3"/>
    <x v="7"/>
    <n v="6"/>
    <n v="179.4"/>
    <n v="10.115"/>
    <n v="29.9"/>
    <x v="17"/>
    <n v="388"/>
    <n v="1"/>
    <n v="250"/>
    <n v="4.5"/>
    <n v="112"/>
    <n v="21"/>
    <n v="10"/>
    <n v="1"/>
    <n v="12"/>
    <n v="2017"/>
    <n v="46.15384615"/>
    <n v="1200"/>
    <n v="23.99"/>
    <n v="4.3"/>
    <n v="12.45684211"/>
    <n v="89.99"/>
    <n v="4.0999999999999996"/>
    <n v="15.89473684"/>
    <n v="58.99"/>
    <n v="3.9"/>
    <n v="16.332222219999998"/>
    <n v="29.9"/>
    <n v="29.900000000000002"/>
    <n v="29.900000000000002"/>
    <n v="14.411199999999999"/>
  </r>
  <r>
    <x v="47"/>
    <x v="3"/>
    <x v="8"/>
    <n v="15"/>
    <n v="448.5"/>
    <n v="9.5513333330000005"/>
    <n v="29.9"/>
    <x v="17"/>
    <n v="388"/>
    <n v="1"/>
    <n v="250"/>
    <n v="4.5"/>
    <n v="98"/>
    <n v="23"/>
    <n v="8"/>
    <n v="2"/>
    <n v="1"/>
    <n v="2018"/>
    <n v="12.09677419"/>
    <n v="1200"/>
    <n v="23.99"/>
    <n v="4.3"/>
    <n v="11.28736842"/>
    <n v="89.99"/>
    <n v="4.0999999999999996"/>
    <n v="14.811"/>
    <n v="58.99"/>
    <n v="3.9"/>
    <n v="22.678333330000001"/>
    <n v="29.9"/>
    <n v="29.9"/>
    <n v="29.900000000000002"/>
    <n v="14.397763578274761"/>
  </r>
  <r>
    <x v="47"/>
    <x v="3"/>
    <x v="9"/>
    <n v="16"/>
    <n v="478.4"/>
    <n v="10.09125"/>
    <n v="29.9"/>
    <x v="17"/>
    <n v="388"/>
    <n v="1"/>
    <n v="250"/>
    <n v="4.5"/>
    <n v="126"/>
    <n v="20"/>
    <n v="8"/>
    <n v="2"/>
    <n v="2"/>
    <n v="2018"/>
    <n v="12.90322581"/>
    <n v="1200"/>
    <n v="23.99"/>
    <n v="4.3"/>
    <n v="12.55"/>
    <n v="89.99"/>
    <n v="4.0999999999999996"/>
    <n v="16.307647060000001"/>
    <n v="58.99"/>
    <n v="3.9"/>
    <n v="19.574999999999999"/>
    <n v="29.9"/>
    <n v="29.9"/>
    <n v="29.9"/>
    <n v="14.39872408293461"/>
  </r>
  <r>
    <x v="47"/>
    <x v="3"/>
    <x v="10"/>
    <n v="11"/>
    <n v="328.9"/>
    <n v="11.43454545"/>
    <n v="29.9"/>
    <x v="17"/>
    <n v="388"/>
    <n v="1"/>
    <n v="250"/>
    <n v="4.5"/>
    <n v="169"/>
    <n v="22"/>
    <n v="9"/>
    <n v="1"/>
    <n v="3"/>
    <n v="2018"/>
    <n v="8.8709677419999995"/>
    <n v="1200"/>
    <n v="23.99"/>
    <n v="4.3"/>
    <n v="14.19875"/>
    <n v="83.74"/>
    <n v="4.0999999999999996"/>
    <n v="11.876875"/>
    <n v="58.99"/>
    <n v="3.9"/>
    <n v="15.228"/>
    <n v="29.9"/>
    <n v="29.9"/>
    <n v="29.9"/>
    <n v="14.401273885350319"/>
  </r>
  <r>
    <x v="47"/>
    <x v="3"/>
    <x v="11"/>
    <n v="22"/>
    <n v="657.8"/>
    <n v="10.10318182"/>
    <n v="29.9"/>
    <x v="17"/>
    <n v="388"/>
    <n v="1"/>
    <n v="250"/>
    <n v="4.5"/>
    <n v="118"/>
    <n v="21"/>
    <n v="9"/>
    <n v="1"/>
    <n v="4"/>
    <n v="2018"/>
    <n v="17.741935479999999"/>
    <n v="1200"/>
    <n v="29.9"/>
    <n v="4.5"/>
    <n v="10.10318182"/>
    <n v="79.989999999999995"/>
    <n v="4.0999999999999996"/>
    <n v="14.484999999999999"/>
    <n v="58.99"/>
    <n v="3.9"/>
    <n v="16.302727269999998"/>
    <n v="29.9"/>
    <n v="29.9"/>
    <n v="29.9"/>
    <n v="14.395866454689983"/>
  </r>
  <r>
    <x v="47"/>
    <x v="3"/>
    <x v="12"/>
    <n v="22"/>
    <n v="657.8"/>
    <n v="9.7727272729999992"/>
    <n v="29.9"/>
    <x v="17"/>
    <n v="388"/>
    <n v="1"/>
    <n v="250"/>
    <n v="4.5"/>
    <n v="159"/>
    <n v="23"/>
    <n v="8"/>
    <n v="3"/>
    <n v="5"/>
    <n v="2018"/>
    <n v="17.741935479999999"/>
    <n v="1200"/>
    <n v="23.99"/>
    <n v="4.3"/>
    <n v="7.9885714290000003"/>
    <n v="79.989999999999995"/>
    <n v="4.0999999999999996"/>
    <n v="21.943124999999998"/>
    <n v="58.99"/>
    <n v="3.9"/>
    <n v="9.4224999999999994"/>
    <n v="29.9"/>
    <n v="29.9"/>
    <n v="29.9"/>
    <n v="14.407936507936508"/>
  </r>
  <r>
    <x v="47"/>
    <x v="3"/>
    <x v="13"/>
    <n v="7"/>
    <n v="209.3"/>
    <n v="11.50285714"/>
    <n v="29.9"/>
    <x v="17"/>
    <n v="388"/>
    <n v="1"/>
    <n v="250"/>
    <n v="4.5"/>
    <n v="131"/>
    <n v="21"/>
    <n v="9"/>
    <n v="0"/>
    <n v="6"/>
    <n v="2018"/>
    <n v="5.6451612899999999"/>
    <n v="1200"/>
    <n v="23.99"/>
    <n v="4.3"/>
    <n v="16.27"/>
    <n v="79.989999999999995"/>
    <n v="4.0999999999999996"/>
    <n v="13.36230769"/>
    <n v="58.99"/>
    <n v="3.9"/>
    <n v="16.43"/>
    <n v="29.9"/>
    <n v="29.900000000000002"/>
    <n v="29.9"/>
    <n v="14.419968304278923"/>
  </r>
  <r>
    <x v="47"/>
    <x v="3"/>
    <x v="14"/>
    <n v="18"/>
    <n v="538.20000000000005"/>
    <n v="9.3655555560000003"/>
    <n v="29.9"/>
    <x v="17"/>
    <n v="388"/>
    <n v="1"/>
    <n v="250"/>
    <n v="4.5"/>
    <n v="113"/>
    <n v="22"/>
    <n v="9"/>
    <n v="1"/>
    <n v="7"/>
    <n v="2018"/>
    <n v="14.51612903"/>
    <n v="1200"/>
    <n v="23.99"/>
    <n v="4.3"/>
    <n v="18.809999999999999"/>
    <n v="79.989999999999995"/>
    <n v="4.0999999999999996"/>
    <n v="16.745000000000001"/>
    <n v="58.99"/>
    <n v="3.9"/>
    <n v="7.67"/>
    <n v="29.9"/>
    <n v="29.900000000000002"/>
    <n v="29.900000000000002"/>
    <n v="14.408227848101266"/>
  </r>
  <r>
    <x v="47"/>
    <x v="3"/>
    <x v="15"/>
    <n v="13"/>
    <n v="388.7"/>
    <n v="9.5530769230000008"/>
    <n v="29.9"/>
    <x v="17"/>
    <n v="388"/>
    <n v="1"/>
    <n v="250"/>
    <n v="4.5"/>
    <n v="127"/>
    <n v="23"/>
    <n v="8"/>
    <n v="1"/>
    <n v="8"/>
    <n v="2018"/>
    <n v="10.48387097"/>
    <n v="1200"/>
    <n v="23.99"/>
    <n v="4.3"/>
    <n v="16.77"/>
    <n v="82.821428569999995"/>
    <n v="4.0999999999999996"/>
    <n v="12.41857143"/>
    <n v="58.99"/>
    <n v="3.9"/>
    <n v="12.08333333"/>
    <n v="29.9"/>
    <n v="29.9"/>
    <n v="29.900000000000002"/>
    <n v="14.41390205371248"/>
  </r>
  <r>
    <x v="48"/>
    <x v="7"/>
    <x v="16"/>
    <n v="5"/>
    <n v="1205.03"/>
    <n v="21.318000000000001"/>
    <n v="241.006"/>
    <x v="11"/>
    <n v="514"/>
    <n v="2"/>
    <n v="4338"/>
    <n v="3.8"/>
    <n v="6"/>
    <n v="23"/>
    <n v="8"/>
    <n v="1"/>
    <n v="3"/>
    <n v="2017"/>
    <n v="17.620075549999999"/>
    <n v="2856"/>
    <n v="241.006"/>
    <n v="3.8"/>
    <n v="21.318000000000001"/>
    <n v="241.006"/>
    <n v="3.8"/>
    <n v="21.318000000000001"/>
    <n v="241.006"/>
    <n v="3.8"/>
    <n v="21.318000000000001"/>
    <n v="240.95599999999999"/>
    <n v="241.006"/>
    <s v=""/>
    <n v="14.411671924290221"/>
  </r>
  <r>
    <x v="48"/>
    <x v="7"/>
    <x v="17"/>
    <n v="3"/>
    <n v="766.83"/>
    <n v="21.22666667"/>
    <n v="255.61"/>
    <x v="11"/>
    <n v="514"/>
    <n v="2"/>
    <n v="4338"/>
    <n v="3.8"/>
    <n v="3"/>
    <n v="20"/>
    <n v="10"/>
    <n v="2"/>
    <n v="4"/>
    <n v="2017"/>
    <n v="5.8931462489999999"/>
    <n v="2856"/>
    <n v="255.61"/>
    <n v="3.8"/>
    <n v="21.22666667"/>
    <n v="255.61"/>
    <n v="3.8"/>
    <n v="21.22666667"/>
    <n v="255.61"/>
    <n v="3.8"/>
    <n v="21.22666667"/>
    <n v="241.006"/>
    <n v="255.61"/>
    <n v="241.006"/>
    <n v="14.396850393700788"/>
  </r>
  <r>
    <x v="48"/>
    <x v="7"/>
    <x v="1"/>
    <n v="5"/>
    <n v="925"/>
    <n v="14.74"/>
    <n v="185"/>
    <x v="11"/>
    <n v="514"/>
    <n v="2"/>
    <n v="4338"/>
    <n v="3.8"/>
    <n v="17"/>
    <n v="22"/>
    <n v="8"/>
    <n v="1"/>
    <n v="6"/>
    <n v="2017"/>
    <n v="9.8219104159999997"/>
    <n v="2856"/>
    <n v="163"/>
    <n v="4.2"/>
    <n v="14.265000000000001"/>
    <n v="185"/>
    <n v="3.8"/>
    <n v="14.74"/>
    <n v="185"/>
    <n v="3.8"/>
    <n v="14.74"/>
    <n v="184.95"/>
    <n v="185"/>
    <n v="255.61"/>
    <n v="14.378930817610064"/>
  </r>
  <r>
    <x v="48"/>
    <x v="7"/>
    <x v="2"/>
    <n v="10"/>
    <n v="1973.83"/>
    <n v="16.606000000000002"/>
    <n v="197.38300000000001"/>
    <x v="11"/>
    <n v="514"/>
    <n v="2"/>
    <n v="4338"/>
    <n v="3.8"/>
    <n v="29"/>
    <n v="21"/>
    <n v="10"/>
    <n v="1"/>
    <n v="7"/>
    <n v="2017"/>
    <n v="6.7997841340000003"/>
    <n v="2856"/>
    <n v="161.5909091"/>
    <n v="4.2"/>
    <n v="15.525454549999999"/>
    <n v="197.38300000000001"/>
    <n v="3.8"/>
    <n v="16.606000000000002"/>
    <n v="197.38300000000001"/>
    <n v="3.8"/>
    <n v="16.606000000000002"/>
    <n v="185"/>
    <n v="197.38299999999998"/>
    <n v="185"/>
    <n v="14.364207221350078"/>
  </r>
  <r>
    <x v="48"/>
    <x v="7"/>
    <x v="3"/>
    <n v="15"/>
    <n v="2698.5"/>
    <n v="14.926666669999999"/>
    <n v="179.9"/>
    <x v="11"/>
    <n v="514"/>
    <n v="2"/>
    <n v="4338"/>
    <n v="3.8"/>
    <n v="48"/>
    <n v="23"/>
    <n v="8"/>
    <n v="1"/>
    <n v="8"/>
    <n v="2017"/>
    <n v="13.869400969999999"/>
    <n v="2856"/>
    <n v="160.66923080000001"/>
    <n v="4.2"/>
    <n v="15.185384620000001"/>
    <n v="179.9"/>
    <n v="3.8"/>
    <n v="14.926666669999999"/>
    <n v="179.9"/>
    <n v="3.8"/>
    <n v="14.926666669999999"/>
    <n v="197.38300000000001"/>
    <n v="179.9"/>
    <n v="197.38299999999998"/>
    <n v="14.357366771159874"/>
  </r>
  <r>
    <x v="48"/>
    <x v="7"/>
    <x v="4"/>
    <n v="20"/>
    <n v="3291.4"/>
    <n v="19.527999999999999"/>
    <n v="164.57"/>
    <x v="11"/>
    <n v="514"/>
    <n v="2"/>
    <n v="4338"/>
    <n v="3.8"/>
    <n v="54"/>
    <n v="21"/>
    <n v="9"/>
    <n v="1"/>
    <n v="9"/>
    <n v="2017"/>
    <n v="23.529411759999999"/>
    <n v="2856"/>
    <n v="148.7785714"/>
    <n v="4.2"/>
    <n v="14.041111109999999"/>
    <n v="164.57"/>
    <n v="3.8"/>
    <n v="19.527999999999999"/>
    <n v="164.57"/>
    <n v="3.8"/>
    <n v="19.527999999999999"/>
    <n v="179.9"/>
    <n v="164.57"/>
    <n v="179.9"/>
    <n v="14.358372456964005"/>
  </r>
  <r>
    <x v="48"/>
    <x v="7"/>
    <x v="5"/>
    <n v="4"/>
    <n v="929.96"/>
    <n v="14.2125"/>
    <n v="232.49"/>
    <x v="11"/>
    <n v="514"/>
    <n v="2"/>
    <n v="4338"/>
    <n v="3.8"/>
    <n v="43"/>
    <n v="22"/>
    <n v="9"/>
    <n v="2"/>
    <n v="10"/>
    <n v="2017"/>
    <n v="4.7058823529999998"/>
    <n v="2856"/>
    <n v="134.9"/>
    <n v="4.2"/>
    <n v="6.81"/>
    <n v="232.49"/>
    <n v="3.8"/>
    <n v="14.2125"/>
    <n v="232.49"/>
    <n v="3.8"/>
    <n v="14.2125"/>
    <n v="164.57"/>
    <n v="232.49"/>
    <n v="164.57"/>
    <n v="14.3671875"/>
  </r>
  <r>
    <x v="48"/>
    <x v="7"/>
    <x v="6"/>
    <n v="18"/>
    <n v="3139.8"/>
    <n v="20.992777780000001"/>
    <n v="174.43333329999999"/>
    <x v="11"/>
    <n v="514"/>
    <n v="2"/>
    <n v="4338"/>
    <n v="3.8"/>
    <n v="91"/>
    <n v="22"/>
    <n v="8"/>
    <n v="4"/>
    <n v="11"/>
    <n v="2017"/>
    <n v="21.176470590000001"/>
    <n v="2856"/>
    <n v="133"/>
    <n v="4.2"/>
    <n v="19.916666670000001"/>
    <n v="108"/>
    <n v="4.2"/>
    <n v="15.908461539999999"/>
    <n v="174.43333329999999"/>
    <n v="3.8"/>
    <n v="20.992777780000001"/>
    <n v="232.49"/>
    <n v="174.43333333333334"/>
    <n v="232.49"/>
    <n v="14.351014040561623"/>
  </r>
  <r>
    <x v="48"/>
    <x v="7"/>
    <x v="7"/>
    <n v="5"/>
    <n v="929.8"/>
    <n v="18.686"/>
    <n v="185.96"/>
    <x v="11"/>
    <n v="514"/>
    <n v="2"/>
    <n v="4338"/>
    <n v="3.8"/>
    <n v="73"/>
    <n v="21"/>
    <n v="10"/>
    <n v="1"/>
    <n v="12"/>
    <n v="2017"/>
    <n v="5.8823529409999997"/>
    <n v="2856"/>
    <n v="149"/>
    <n v="4.2"/>
    <n v="19.100000000000001"/>
    <n v="108"/>
    <n v="4.2"/>
    <n v="16.65384615"/>
    <n v="185.96"/>
    <n v="3.8"/>
    <n v="18.686"/>
    <n v="174.43333329999999"/>
    <n v="185.95999999999998"/>
    <n v="174.43333333333334"/>
    <n v="14.356697819314642"/>
  </r>
  <r>
    <x v="48"/>
    <x v="7"/>
    <x v="8"/>
    <n v="2"/>
    <n v="398"/>
    <n v="21.88"/>
    <n v="199"/>
    <x v="11"/>
    <n v="514"/>
    <n v="2"/>
    <n v="4338"/>
    <n v="3.8"/>
    <n v="59"/>
    <n v="23"/>
    <n v="8"/>
    <n v="2"/>
    <n v="1"/>
    <n v="2018"/>
    <n v="1.8348623850000001"/>
    <n v="2856"/>
    <n v="199"/>
    <n v="3.8"/>
    <n v="21.88"/>
    <n v="108"/>
    <n v="4.2"/>
    <n v="16.196363640000001"/>
    <n v="199"/>
    <n v="3.8"/>
    <n v="21.88"/>
    <n v="185.96"/>
    <n v="199"/>
    <n v="185.95999999999998"/>
    <n v="14.342146189735614"/>
  </r>
  <r>
    <x v="48"/>
    <x v="7"/>
    <x v="9"/>
    <n v="6"/>
    <n v="1092"/>
    <n v="19.329999999999998"/>
    <n v="182"/>
    <x v="11"/>
    <n v="514"/>
    <n v="2"/>
    <n v="4338"/>
    <n v="3.8"/>
    <n v="90"/>
    <n v="20"/>
    <n v="8"/>
    <n v="2"/>
    <n v="2"/>
    <n v="2018"/>
    <n v="5.5045871560000004"/>
    <n v="2856"/>
    <n v="128.2416667"/>
    <n v="4.2"/>
    <n v="15.926666669999999"/>
    <n v="108"/>
    <n v="4.2"/>
    <n v="18.253636360000002"/>
    <n v="182"/>
    <n v="3.8"/>
    <n v="19.329999999999998"/>
    <n v="199"/>
    <n v="182"/>
    <n v="199"/>
    <n v="14.322981366459627"/>
  </r>
  <r>
    <x v="48"/>
    <x v="7"/>
    <x v="10"/>
    <n v="32"/>
    <n v="4860.1099999999997"/>
    <n v="20.313749999999999"/>
    <n v="151.87843749999999"/>
    <x v="11"/>
    <n v="514"/>
    <n v="2"/>
    <n v="4338"/>
    <n v="3.8"/>
    <n v="125"/>
    <n v="22"/>
    <n v="9"/>
    <n v="1"/>
    <n v="3"/>
    <n v="2018"/>
    <n v="17.620075549999999"/>
    <n v="2856"/>
    <n v="117.44129030000001"/>
    <n v="4.2"/>
    <n v="18.261290320000001"/>
    <n v="105.6428571"/>
    <n v="4.2"/>
    <n v="21.6652381"/>
    <n v="151.87843749999999"/>
    <n v="3.8"/>
    <n v="20.313749999999999"/>
    <n v="182"/>
    <n v="151.87843749999999"/>
    <n v="182"/>
    <n v="14.310077519379846"/>
  </r>
  <r>
    <x v="48"/>
    <x v="7"/>
    <x v="11"/>
    <n v="9"/>
    <n v="1351.2"/>
    <n v="19.447777779999999"/>
    <n v="150.1333333"/>
    <x v="11"/>
    <n v="514"/>
    <n v="2"/>
    <n v="4338"/>
    <n v="3.8"/>
    <n v="178"/>
    <n v="21"/>
    <n v="9"/>
    <n v="1"/>
    <n v="4"/>
    <n v="2018"/>
    <n v="5.8931462489999999"/>
    <n v="2856"/>
    <n v="105.648625"/>
    <n v="4.2"/>
    <n v="2.1816470589999999"/>
    <n v="105"/>
    <n v="4.2"/>
    <n v="13.631428570000001"/>
    <n v="150.1333333"/>
    <n v="3.8"/>
    <n v="19.447777779999999"/>
    <n v="151.87843749999999"/>
    <n v="150.13333333333333"/>
    <n v="151.87843749999999"/>
    <n v="14.337461300309597"/>
  </r>
  <r>
    <x v="48"/>
    <x v="7"/>
    <x v="12"/>
    <n v="32"/>
    <n v="4241"/>
    <n v="15.7621875"/>
    <n v="132.53125"/>
    <x v="11"/>
    <n v="514"/>
    <n v="2"/>
    <n v="4338"/>
    <n v="3.8"/>
    <n v="260"/>
    <n v="23"/>
    <n v="8"/>
    <n v="3"/>
    <n v="5"/>
    <n v="2018"/>
    <n v="29.357798169999999"/>
    <n v="2856"/>
    <n v="103.79252339999999"/>
    <n v="4.2"/>
    <n v="9.5438596000000001E-2"/>
    <n v="105"/>
    <n v="4.2"/>
    <n v="11.3772973"/>
    <n v="132.53125"/>
    <n v="3.8"/>
    <n v="15.7621875"/>
    <n v="150.1333333"/>
    <n v="132.53125"/>
    <n v="150.13333333333333"/>
    <n v="14.329211746522411"/>
  </r>
  <r>
    <x v="48"/>
    <x v="7"/>
    <x v="13"/>
    <n v="15"/>
    <n v="2073.3000000000002"/>
    <n v="16.108000000000001"/>
    <n v="138.22"/>
    <x v="11"/>
    <n v="514"/>
    <n v="2"/>
    <n v="4338"/>
    <n v="3.8"/>
    <n v="93"/>
    <n v="21"/>
    <n v="9"/>
    <n v="0"/>
    <n v="6"/>
    <n v="2018"/>
    <n v="9.8219104159999997"/>
    <n v="2856"/>
    <n v="119"/>
    <n v="4.2"/>
    <n v="19.206666670000001"/>
    <n v="105"/>
    <n v="4.2"/>
    <n v="23.823571430000001"/>
    <n v="138.22"/>
    <n v="3.8"/>
    <n v="16.108000000000001"/>
    <n v="132.53125"/>
    <n v="138.22"/>
    <n v="132.53125"/>
    <n v="14.356481481481481"/>
  </r>
  <r>
    <x v="48"/>
    <x v="7"/>
    <x v="14"/>
    <n v="2"/>
    <n v="310"/>
    <n v="16.47"/>
    <n v="155"/>
    <x v="11"/>
    <n v="514"/>
    <n v="2"/>
    <n v="4338"/>
    <n v="3.8"/>
    <n v="122"/>
    <n v="22"/>
    <n v="9"/>
    <n v="1"/>
    <n v="7"/>
    <n v="2018"/>
    <n v="6.7997841340000003"/>
    <n v="2856"/>
    <n v="118.3636364"/>
    <n v="4.2"/>
    <n v="15.48"/>
    <n v="105"/>
    <n v="4.2"/>
    <n v="24.938749999999999"/>
    <n v="155"/>
    <n v="3.8"/>
    <n v="16.47"/>
    <n v="138.22"/>
    <n v="155"/>
    <n v="138.22"/>
    <n v="14.357473035439137"/>
  </r>
  <r>
    <x v="48"/>
    <x v="7"/>
    <x v="15"/>
    <n v="11"/>
    <n v="1601.06"/>
    <n v="21.897272730000001"/>
    <n v="145.55090910000001"/>
    <x v="11"/>
    <n v="514"/>
    <n v="2"/>
    <n v="4338"/>
    <n v="3.8"/>
    <n v="61"/>
    <n v="23"/>
    <n v="8"/>
    <n v="1"/>
    <n v="8"/>
    <n v="2018"/>
    <n v="13.869400969999999"/>
    <n v="2856"/>
    <n v="112"/>
    <n v="4.2"/>
    <n v="13.44"/>
    <n v="105"/>
    <n v="4.2"/>
    <n v="23.385714289999999"/>
    <n v="145.55090910000001"/>
    <n v="3.8"/>
    <n v="21.897272730000001"/>
    <n v="155"/>
    <n v="145.55090909090907"/>
    <n v="155"/>
    <n v="14.338461538461539"/>
  </r>
  <r>
    <x v="49"/>
    <x v="6"/>
    <x v="6"/>
    <n v="1"/>
    <n v="109.9"/>
    <n v="15.52"/>
    <n v="109.9"/>
    <x v="9"/>
    <n v="256"/>
    <n v="1"/>
    <n v="180"/>
    <n v="3.5"/>
    <n v="36"/>
    <n v="22"/>
    <n v="8"/>
    <n v="4"/>
    <n v="11"/>
    <n v="2017"/>
    <n v="7.692307692"/>
    <n v="2210"/>
    <n v="149.99"/>
    <n v="4.2"/>
    <n v="42.517222220000001"/>
    <n v="109.9"/>
    <n v="3.5"/>
    <n v="15.52"/>
    <n v="109.9"/>
    <n v="3.5"/>
    <n v="15.52"/>
    <n v="109.85"/>
    <n v="109.9"/>
    <s v=""/>
    <n v="14.333333333333334"/>
  </r>
  <r>
    <x v="49"/>
    <x v="6"/>
    <x v="7"/>
    <n v="12"/>
    <n v="1318.8"/>
    <n v="25.249166670000001"/>
    <n v="109.9"/>
    <x v="9"/>
    <n v="256"/>
    <n v="1"/>
    <n v="180"/>
    <n v="3.5"/>
    <n v="35"/>
    <n v="21"/>
    <n v="10"/>
    <n v="1"/>
    <n v="12"/>
    <n v="2017"/>
    <n v="92.307692309999993"/>
    <n v="2210"/>
    <n v="149.99"/>
    <n v="4.2"/>
    <n v="38.57"/>
    <n v="109.9"/>
    <n v="3.5"/>
    <n v="25.249166670000001"/>
    <n v="109.9"/>
    <n v="3.5"/>
    <n v="25.249166670000001"/>
    <n v="109.9"/>
    <n v="109.89999999999999"/>
    <n v="109.9"/>
    <n v="14.312883435582823"/>
  </r>
  <r>
    <x v="49"/>
    <x v="6"/>
    <x v="8"/>
    <n v="29"/>
    <n v="2831.55"/>
    <n v="14.846551720000001"/>
    <n v="97.642499999999998"/>
    <x v="9"/>
    <n v="256"/>
    <n v="1"/>
    <n v="180"/>
    <n v="3.5"/>
    <n v="152"/>
    <n v="23"/>
    <n v="8"/>
    <n v="2"/>
    <n v="1"/>
    <n v="2018"/>
    <n v="17.058823530000002"/>
    <n v="2210"/>
    <n v="156.5113514"/>
    <n v="4.2"/>
    <n v="36.807209299999997"/>
    <n v="150.3545455"/>
    <n v="4.3"/>
    <n v="22.547727269999999"/>
    <n v="97.642499999999998"/>
    <n v="3.5"/>
    <n v="14.846551720000001"/>
    <n v="109.9"/>
    <n v="97.639655172413796"/>
    <n v="109.89999999999999"/>
    <n v="14.309341500765697"/>
  </r>
  <r>
    <x v="49"/>
    <x v="6"/>
    <x v="9"/>
    <n v="71"/>
    <n v="5581.8"/>
    <n v="14.535915490000001"/>
    <n v="78.712280699999994"/>
    <x v="9"/>
    <n v="256"/>
    <n v="1"/>
    <n v="180"/>
    <n v="3.5"/>
    <n v="202"/>
    <n v="20"/>
    <n v="8"/>
    <n v="2"/>
    <n v="2"/>
    <n v="2018"/>
    <n v="41.764705880000001"/>
    <n v="2210"/>
    <n v="149"/>
    <n v="4.2"/>
    <n v="41.16322581"/>
    <n v="149.9"/>
    <n v="4.3"/>
    <n v="26.552898549999998"/>
    <n v="78.712280699999994"/>
    <n v="3.5"/>
    <n v="14.535915490000001"/>
    <n v="97.642499999999998"/>
    <n v="78.616901408450701"/>
    <n v="97.639655172413796"/>
    <n v="14.331804281345565"/>
  </r>
  <r>
    <x v="49"/>
    <x v="6"/>
    <x v="10"/>
    <n v="27"/>
    <n v="2187.3000000000002"/>
    <n v="18.221481480000001"/>
    <n v="81.023913039999996"/>
    <x v="9"/>
    <n v="256"/>
    <n v="1"/>
    <n v="180"/>
    <n v="3.5"/>
    <n v="127"/>
    <n v="22"/>
    <n v="9"/>
    <n v="1"/>
    <n v="3"/>
    <n v="2018"/>
    <n v="15.882352940000001"/>
    <n v="2210"/>
    <n v="136.14285709999999"/>
    <n v="4.2"/>
    <n v="48.047499999999999"/>
    <n v="149.9"/>
    <n v="4.3"/>
    <n v="28.475882349999999"/>
    <n v="81.023913039999996"/>
    <n v="3.5"/>
    <n v="18.221481480000001"/>
    <n v="78.712280699999994"/>
    <n v="81.01111111111112"/>
    <n v="78.616901408450701"/>
    <n v="14.418320610687022"/>
  </r>
  <r>
    <x v="49"/>
    <x v="6"/>
    <x v="11"/>
    <n v="13"/>
    <n v="1042.9000000000001"/>
    <n v="18.17230769"/>
    <n v="80.666666669999998"/>
    <x v="9"/>
    <n v="256"/>
    <n v="1"/>
    <n v="180"/>
    <n v="3.5"/>
    <n v="107"/>
    <n v="21"/>
    <n v="9"/>
    <n v="1"/>
    <n v="4"/>
    <n v="2018"/>
    <n v="7.6470588240000001"/>
    <n v="2210"/>
    <n v="120.9230769"/>
    <n v="4.2"/>
    <n v="27.253035709999999"/>
    <n v="149.9"/>
    <n v="4.3"/>
    <n v="30.227428570000001"/>
    <n v="80.666666669999998"/>
    <n v="3.5"/>
    <n v="18.17230769"/>
    <n v="81.023913039999996"/>
    <n v="80.223076923076931"/>
    <n v="81.01111111111112"/>
    <n v="14.4375"/>
  </r>
  <r>
    <x v="49"/>
    <x v="6"/>
    <x v="12"/>
    <n v="11"/>
    <n v="876.9"/>
    <n v="14.41454545"/>
    <n v="79.8"/>
    <x v="9"/>
    <n v="256"/>
    <n v="1"/>
    <n v="180"/>
    <n v="3.5"/>
    <n v="78"/>
    <n v="23"/>
    <n v="8"/>
    <n v="3"/>
    <n v="5"/>
    <n v="2018"/>
    <n v="6.4705882350000001"/>
    <n v="2210"/>
    <n v="119"/>
    <n v="4.2"/>
    <n v="39.217199999999998"/>
    <n v="149.9"/>
    <n v="4.3"/>
    <n v="18.943076919999999"/>
    <n v="79.8"/>
    <n v="3.5"/>
    <n v="14.41454545"/>
    <n v="80.666666669999998"/>
    <n v="79.718181818181819"/>
    <n v="80.223076923076931"/>
    <n v="14.43531202435312"/>
  </r>
  <r>
    <x v="49"/>
    <x v="6"/>
    <x v="13"/>
    <n v="10"/>
    <n v="789"/>
    <n v="17.327999999999999"/>
    <n v="78.900000000000006"/>
    <x v="9"/>
    <n v="256"/>
    <n v="1"/>
    <n v="180"/>
    <n v="3.5"/>
    <n v="66"/>
    <n v="21"/>
    <n v="9"/>
    <n v="0"/>
    <n v="6"/>
    <n v="2018"/>
    <n v="5.8823529409999997"/>
    <n v="2210"/>
    <n v="114.49115380000001"/>
    <n v="4.2"/>
    <n v="53.625555560000002"/>
    <n v="149.9"/>
    <n v="4.3"/>
    <n v="27.626666669999999"/>
    <n v="78.900000000000006"/>
    <n v="3.5"/>
    <n v="17.327999999999999"/>
    <n v="79.8"/>
    <n v="78.900000000000006"/>
    <n v="79.718181818181819"/>
    <n v="14.430091185410335"/>
  </r>
  <r>
    <x v="49"/>
    <x v="6"/>
    <x v="14"/>
    <n v="7"/>
    <n v="545.29999999999995"/>
    <n v="14.638571430000001"/>
    <n v="77.900000000000006"/>
    <x v="9"/>
    <n v="256"/>
    <n v="1"/>
    <n v="180"/>
    <n v="3.5"/>
    <n v="43"/>
    <n v="22"/>
    <n v="9"/>
    <n v="1"/>
    <n v="7"/>
    <n v="2018"/>
    <n v="4.1176470590000003"/>
    <n v="2210"/>
    <n v="119.99"/>
    <n v="4.2"/>
    <n v="48.626666669999999"/>
    <n v="149.9"/>
    <n v="4.3"/>
    <n v="33.571538459999999"/>
    <n v="77.900000000000006"/>
    <n v="3.5"/>
    <n v="14.638571430000001"/>
    <n v="78.900000000000006"/>
    <n v="77.899999999999991"/>
    <n v="78.900000000000006"/>
    <n v="14.423368740515933"/>
  </r>
  <r>
    <x v="49"/>
    <x v="6"/>
    <x v="15"/>
    <n v="2"/>
    <n v="155.80000000000001"/>
    <n v="13.414999999999999"/>
    <n v="77.900000000000006"/>
    <x v="9"/>
    <n v="256"/>
    <n v="1"/>
    <n v="180"/>
    <n v="3.5"/>
    <n v="18"/>
    <n v="23"/>
    <n v="8"/>
    <n v="1"/>
    <n v="8"/>
    <n v="2018"/>
    <n v="1.1764705879999999"/>
    <n v="2210"/>
    <n v="119.99"/>
    <n v="4.2"/>
    <n v="39.045999999999999"/>
    <n v="149.9"/>
    <n v="4.3"/>
    <n v="24.76"/>
    <n v="77.900000000000006"/>
    <n v="3.5"/>
    <n v="13.414999999999999"/>
    <n v="77.900000000000006"/>
    <n v="77.900000000000006"/>
    <n v="77.899999999999991"/>
    <n v="14.412121212121212"/>
  </r>
  <r>
    <x v="50"/>
    <x v="0"/>
    <x v="5"/>
    <n v="29"/>
    <n v="1331.1"/>
    <n v="13.882413789999999"/>
    <n v="45.9"/>
    <x v="23"/>
    <n v="735"/>
    <n v="5"/>
    <n v="800"/>
    <n v="4.2"/>
    <n v="50"/>
    <n v="22"/>
    <n v="9"/>
    <n v="2"/>
    <n v="10"/>
    <n v="2017"/>
    <n v="39.7260274"/>
    <n v="8000"/>
    <n v="89.9"/>
    <n v="3.9"/>
    <n v="21.57214286"/>
    <n v="45.9"/>
    <n v="4.2"/>
    <n v="13.882413789999999"/>
    <n v="45.95"/>
    <n v="4"/>
    <n v="15.1"/>
    <n v="45.85"/>
    <n v="45.9"/>
    <s v=""/>
    <n v="14.393343419062028"/>
  </r>
  <r>
    <x v="50"/>
    <x v="0"/>
    <x v="6"/>
    <n v="32"/>
    <n v="1421.67"/>
    <n v="13.95875"/>
    <n v="44.154444439999999"/>
    <x v="23"/>
    <n v="735"/>
    <n v="5"/>
    <n v="800"/>
    <n v="4.2"/>
    <n v="97"/>
    <n v="22"/>
    <n v="8"/>
    <n v="4"/>
    <n v="11"/>
    <n v="2017"/>
    <n v="43.835616440000003"/>
    <n v="8000"/>
    <n v="89.9"/>
    <n v="3.9"/>
    <n v="16.294"/>
    <n v="44.154444439999999"/>
    <n v="4.2"/>
    <n v="13.95875"/>
    <n v="40.531818180000002"/>
    <n v="4"/>
    <n v="15.832727269999999"/>
    <n v="45.9"/>
    <n v="44.427187500000002"/>
    <n v="45.9"/>
    <n v="14.415407854984894"/>
  </r>
  <r>
    <x v="50"/>
    <x v="0"/>
    <x v="7"/>
    <n v="12"/>
    <n v="550.79999999999995"/>
    <n v="13.6875"/>
    <n v="45.9"/>
    <x v="23"/>
    <n v="735"/>
    <n v="5"/>
    <n v="800"/>
    <n v="4.2"/>
    <n v="41"/>
    <n v="21"/>
    <n v="10"/>
    <n v="1"/>
    <n v="12"/>
    <n v="2017"/>
    <n v="16.438356160000001"/>
    <n v="8000"/>
    <n v="88.488235290000006"/>
    <n v="3.9"/>
    <n v="18.89833333"/>
    <n v="45.9"/>
    <n v="4.2"/>
    <n v="13.6875"/>
    <n v="39.99"/>
    <n v="4"/>
    <n v="15.23"/>
    <n v="44.154444439999999"/>
    <n v="45.9"/>
    <n v="44.427187500000002"/>
    <n v="14.441930618401207"/>
  </r>
  <r>
    <x v="50"/>
    <x v="0"/>
    <x v="8"/>
    <n v="19"/>
    <n v="872.1"/>
    <n v="14.18210526"/>
    <n v="45.9"/>
    <x v="23"/>
    <n v="735"/>
    <n v="5"/>
    <n v="800"/>
    <n v="4.2"/>
    <n v="62"/>
    <n v="23"/>
    <n v="8"/>
    <n v="2"/>
    <n v="1"/>
    <n v="2018"/>
    <n v="32.758620690000001"/>
    <n v="8000"/>
    <n v="86.9"/>
    <n v="3.9"/>
    <n v="19.383529410000001"/>
    <n v="45.9"/>
    <n v="4.2"/>
    <n v="14.18210526"/>
    <n v="39.99"/>
    <n v="4"/>
    <n v="16.533684210000001"/>
    <n v="45.9"/>
    <n v="45.9"/>
    <n v="45.9"/>
    <n v="14.438253012048193"/>
  </r>
  <r>
    <x v="50"/>
    <x v="0"/>
    <x v="9"/>
    <n v="16"/>
    <n v="734.4"/>
    <n v="12.172499999999999"/>
    <n v="45.9"/>
    <x v="23"/>
    <n v="735"/>
    <n v="5"/>
    <n v="800"/>
    <n v="4.2"/>
    <n v="62"/>
    <n v="20"/>
    <n v="8"/>
    <n v="2"/>
    <n v="2"/>
    <n v="2018"/>
    <n v="27.586206900000001"/>
    <n v="8000"/>
    <n v="86.9"/>
    <n v="3.9"/>
    <n v="19.20909091"/>
    <n v="45.9"/>
    <n v="4.2"/>
    <n v="12.172499999999999"/>
    <n v="39.99"/>
    <n v="4"/>
    <n v="13.74944444"/>
    <n v="45.9"/>
    <n v="45.9"/>
    <n v="45.9"/>
    <n v="14.445112781954887"/>
  </r>
  <r>
    <x v="50"/>
    <x v="0"/>
    <x v="10"/>
    <n v="8"/>
    <n v="383.2"/>
    <n v="15.22625"/>
    <n v="47.9"/>
    <x v="23"/>
    <n v="735"/>
    <n v="5"/>
    <n v="800"/>
    <n v="4.2"/>
    <n v="43"/>
    <n v="22"/>
    <n v="9"/>
    <n v="1"/>
    <n v="3"/>
    <n v="2018"/>
    <n v="13.79310345"/>
    <n v="8000"/>
    <n v="86.9"/>
    <n v="3.9"/>
    <n v="19.982352939999998"/>
    <n v="47.9"/>
    <n v="4.2"/>
    <n v="15.22625"/>
    <n v="39.99"/>
    <n v="4"/>
    <n v="16.462352939999999"/>
    <n v="45.9"/>
    <n v="47.9"/>
    <n v="45.9"/>
    <n v="14.447447447447447"/>
  </r>
  <r>
    <x v="50"/>
    <x v="0"/>
    <x v="11"/>
    <n v="7"/>
    <n v="335.3"/>
    <n v="19.08428571"/>
    <n v="47.9"/>
    <x v="23"/>
    <n v="735"/>
    <n v="5"/>
    <n v="800"/>
    <n v="4.2"/>
    <n v="34"/>
    <n v="21"/>
    <n v="9"/>
    <n v="1"/>
    <n v="4"/>
    <n v="2018"/>
    <n v="12.068965520000001"/>
    <n v="8000"/>
    <n v="85.045000000000002"/>
    <n v="3.9"/>
    <n v="12.94"/>
    <n v="47.9"/>
    <n v="4.2"/>
    <n v="19.08428571"/>
    <n v="39.99"/>
    <n v="4"/>
    <n v="14.236153850000001"/>
    <n v="47.9"/>
    <n v="47.9"/>
    <n v="47.9"/>
    <n v="14.437781109445277"/>
  </r>
  <r>
    <x v="50"/>
    <x v="0"/>
    <x v="12"/>
    <n v="2"/>
    <n v="95.8"/>
    <n v="12.055"/>
    <n v="47.9"/>
    <x v="23"/>
    <n v="735"/>
    <n v="5"/>
    <n v="800"/>
    <n v="4.2"/>
    <n v="57"/>
    <n v="23"/>
    <n v="8"/>
    <n v="3"/>
    <n v="5"/>
    <n v="2018"/>
    <n v="3.448275862"/>
    <n v="8000"/>
    <n v="83.64961538"/>
    <n v="3.9"/>
    <n v="16.78038462"/>
    <n v="47.9"/>
    <n v="4.2"/>
    <n v="12.055"/>
    <n v="39.99"/>
    <n v="4"/>
    <n v="10.25631579"/>
    <n v="47.9"/>
    <n v="47.9"/>
    <n v="47.9"/>
    <n v="14.426646706586826"/>
  </r>
  <r>
    <x v="50"/>
    <x v="0"/>
    <x v="13"/>
    <n v="4"/>
    <n v="191.6"/>
    <n v="12.637499999999999"/>
    <n v="47.9"/>
    <x v="23"/>
    <n v="735"/>
    <n v="5"/>
    <n v="800"/>
    <n v="4.2"/>
    <n v="43"/>
    <n v="21"/>
    <n v="9"/>
    <n v="0"/>
    <n v="6"/>
    <n v="2018"/>
    <n v="6.896551724"/>
    <n v="8000"/>
    <n v="79.900000000000006"/>
    <n v="3.9"/>
    <n v="23.005652170000001"/>
    <n v="47.9"/>
    <n v="4.2"/>
    <n v="12.637499999999999"/>
    <n v="39.99"/>
    <n v="4"/>
    <n v="13.997999999999999"/>
    <n v="47.9"/>
    <n v="47.9"/>
    <n v="47.9"/>
    <n v="14.408071748878923"/>
  </r>
  <r>
    <x v="50"/>
    <x v="0"/>
    <x v="14"/>
    <n v="2"/>
    <n v="95.8"/>
    <n v="24.69"/>
    <n v="47.9"/>
    <x v="23"/>
    <n v="735"/>
    <n v="5"/>
    <n v="800"/>
    <n v="4.2"/>
    <n v="26"/>
    <n v="22"/>
    <n v="9"/>
    <n v="1"/>
    <n v="7"/>
    <n v="2018"/>
    <n v="3.448275862"/>
    <n v="8000"/>
    <n v="77.933333329999996"/>
    <n v="3.9"/>
    <n v="19.952000000000002"/>
    <n v="47.9"/>
    <n v="4.2"/>
    <n v="24.69"/>
    <n v="39.99"/>
    <n v="4"/>
    <n v="20.4175"/>
    <n v="47.9"/>
    <n v="47.9"/>
    <n v="47.9"/>
    <n v="14.392537313432836"/>
  </r>
  <r>
    <x v="51"/>
    <x v="0"/>
    <x v="0"/>
    <n v="1"/>
    <n v="215"/>
    <n v="8.76"/>
    <n v="215"/>
    <x v="10"/>
    <n v="162"/>
    <n v="5"/>
    <n v="9750"/>
    <n v="4.4000000000000004"/>
    <n v="57"/>
    <n v="23"/>
    <n v="8"/>
    <n v="1"/>
    <n v="5"/>
    <n v="2017"/>
    <n v="0.64935064899999995"/>
    <n v="12600"/>
    <n v="89.9"/>
    <n v="3.9"/>
    <n v="15.011896549999999"/>
    <n v="215"/>
    <n v="4.4000000000000004"/>
    <n v="8.76"/>
    <n v="45.95"/>
    <n v="4"/>
    <n v="15.1"/>
    <n v="214.95"/>
    <n v="215"/>
    <s v=""/>
    <n v="14.374068554396423"/>
  </r>
  <r>
    <x v="51"/>
    <x v="0"/>
    <x v="1"/>
    <n v="10"/>
    <n v="2090"/>
    <n v="21.321999999999999"/>
    <n v="209"/>
    <x v="10"/>
    <n v="162"/>
    <n v="5"/>
    <n v="9750"/>
    <n v="4.4000000000000004"/>
    <n v="61"/>
    <n v="22"/>
    <n v="8"/>
    <n v="1"/>
    <n v="6"/>
    <n v="2017"/>
    <n v="6.493506494"/>
    <n v="12600"/>
    <n v="89.9"/>
    <n v="3.9"/>
    <n v="14.769215689999999"/>
    <n v="209"/>
    <n v="4.4000000000000004"/>
    <n v="21.321999999999999"/>
    <n v="45.95"/>
    <n v="4"/>
    <n v="12.93333333"/>
    <n v="215"/>
    <n v="209"/>
    <n v="215"/>
    <n v="14.354166666666666"/>
  </r>
  <r>
    <x v="51"/>
    <x v="0"/>
    <x v="2"/>
    <n v="59"/>
    <n v="12095"/>
    <n v="22.195932200000001"/>
    <n v="205"/>
    <x v="10"/>
    <n v="162"/>
    <n v="5"/>
    <n v="9750"/>
    <n v="4.4000000000000004"/>
    <n v="123"/>
    <n v="21"/>
    <n v="10"/>
    <n v="1"/>
    <n v="7"/>
    <n v="2017"/>
    <n v="38.311688310000001"/>
    <n v="12600"/>
    <n v="89.9"/>
    <n v="3.9"/>
    <n v="13.993833329999999"/>
    <n v="205"/>
    <n v="4.4000000000000004"/>
    <n v="22.195932200000001"/>
    <n v="45.95"/>
    <n v="4"/>
    <n v="14.84"/>
    <n v="209"/>
    <n v="205"/>
    <n v="209"/>
    <n v="14.347696879643388"/>
  </r>
  <r>
    <x v="51"/>
    <x v="0"/>
    <x v="3"/>
    <n v="52"/>
    <n v="10375"/>
    <n v="19.41288462"/>
    <n v="199.50980390000001"/>
    <x v="10"/>
    <n v="162"/>
    <n v="5"/>
    <n v="9750"/>
    <n v="4.4000000000000004"/>
    <n v="90"/>
    <n v="23"/>
    <n v="8"/>
    <n v="1"/>
    <n v="8"/>
    <n v="2017"/>
    <n v="33.766233769999999"/>
    <n v="12600"/>
    <n v="89.9"/>
    <n v="3.9"/>
    <n v="14.65675676"/>
    <n v="199.50980390000001"/>
    <n v="4.4000000000000004"/>
    <n v="19.41288462"/>
    <n v="45.95"/>
    <n v="4"/>
    <n v="14.2875"/>
    <n v="205"/>
    <n v="199.51923076923077"/>
    <n v="205"/>
    <n v="14.413946587537092"/>
  </r>
  <r>
    <x v="51"/>
    <x v="0"/>
    <x v="4"/>
    <n v="32"/>
    <n v="5222.3599999999997"/>
    <n v="24.3246875"/>
    <n v="163.39870970000001"/>
    <x v="10"/>
    <n v="162"/>
    <n v="5"/>
    <n v="9750"/>
    <n v="4.4000000000000004"/>
    <n v="54"/>
    <n v="21"/>
    <n v="9"/>
    <n v="1"/>
    <n v="9"/>
    <n v="2017"/>
    <n v="20.779220779999999"/>
    <n v="12600"/>
    <n v="89.9"/>
    <n v="3.9"/>
    <n v="18.77652174"/>
    <n v="163.39870970000001"/>
    <n v="4.4000000000000004"/>
    <n v="24.3246875"/>
    <n v="45.95"/>
    <n v="4"/>
    <n v="15.1"/>
    <n v="199.50980390000001"/>
    <n v="163.19874999999999"/>
    <n v="199.51923076923077"/>
    <n v="14.4696296296296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7F35CF-31A5-40A1-B92F-64174666490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J179" firstHeaderRow="0" firstDataRow="1" firstDataCol="1" rowPageCount="2" colPageCount="1"/>
  <pivotFields count="42">
    <pivotField axis="axisPage" showAll="0">
      <items count="53">
        <item x="0"/>
        <item x="34"/>
        <item x="32"/>
        <item x="50"/>
        <item x="51"/>
        <item x="25"/>
        <item x="49"/>
        <item x="46"/>
        <item x="44"/>
        <item x="11"/>
        <item x="13"/>
        <item x="2"/>
        <item x="26"/>
        <item x="43"/>
        <item x="24"/>
        <item x="22"/>
        <item x="5"/>
        <item x="8"/>
        <item x="40"/>
        <item x="38"/>
        <item x="35"/>
        <item x="29"/>
        <item x="42"/>
        <item x="12"/>
        <item x="39"/>
        <item x="33"/>
        <item x="10"/>
        <item x="1"/>
        <item x="15"/>
        <item x="3"/>
        <item x="19"/>
        <item x="20"/>
        <item x="18"/>
        <item x="16"/>
        <item x="41"/>
        <item x="6"/>
        <item x="47"/>
        <item x="27"/>
        <item x="14"/>
        <item x="31"/>
        <item x="9"/>
        <item x="4"/>
        <item x="7"/>
        <item x="23"/>
        <item x="48"/>
        <item x="17"/>
        <item x="37"/>
        <item x="36"/>
        <item x="30"/>
        <item x="21"/>
        <item x="45"/>
        <item x="28"/>
        <item t="default"/>
      </items>
    </pivotField>
    <pivotField axis="axisRow" showAll="0" sortType="descending">
      <items count="10">
        <item x="7"/>
        <item x="5"/>
        <item x="3"/>
        <item x="1"/>
        <item x="8"/>
        <item x="4"/>
        <item x="2"/>
        <item x="6"/>
        <item x="0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axis="axisRow" numFmtId="14" showAll="0" nonAutoSortDefault="1">
      <items count="21">
        <item x="6"/>
        <item x="12"/>
        <item x="10"/>
        <item x="9"/>
        <item x="8"/>
        <item x="11"/>
        <item x="7"/>
        <item x="13"/>
        <item x="5"/>
        <item x="14"/>
        <item x="3"/>
        <item x="4"/>
        <item x="15"/>
        <item x="2"/>
        <item x="1"/>
        <item x="0"/>
        <item x="17"/>
        <item x="16"/>
        <item x="18"/>
        <item x="19"/>
        <item t="default"/>
      </items>
    </pivotField>
    <pivotField dataField="1" showAll="0"/>
    <pivotField dataField="1" showAll="0"/>
    <pivotField showAll="0"/>
    <pivotField showAll="0"/>
    <pivotField axis="axisPage" showAll="0">
      <items count="25">
        <item x="13"/>
        <item x="9"/>
        <item x="11"/>
        <item x="1"/>
        <item x="23"/>
        <item x="0"/>
        <item x="5"/>
        <item x="19"/>
        <item x="16"/>
        <item x="20"/>
        <item x="14"/>
        <item x="22"/>
        <item x="18"/>
        <item x="4"/>
        <item x="2"/>
        <item x="6"/>
        <item x="15"/>
        <item x="7"/>
        <item x="17"/>
        <item x="10"/>
        <item x="3"/>
        <item x="12"/>
        <item x="8"/>
        <item x="21"/>
        <item t="default"/>
      </items>
    </pivotField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ame="Average Price2"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</pivotFields>
  <rowFields count="2">
    <field x="2"/>
    <field x="1"/>
  </rowFields>
  <rowItems count="175">
    <i>
      <x/>
    </i>
    <i r="1">
      <x v="3"/>
    </i>
    <i r="1">
      <x/>
    </i>
    <i r="1">
      <x v="2"/>
    </i>
    <i r="1">
      <x v="8"/>
    </i>
    <i r="1">
      <x v="5"/>
    </i>
    <i r="1">
      <x v="7"/>
    </i>
    <i r="1">
      <x v="4"/>
    </i>
    <i r="1">
      <x v="1"/>
    </i>
    <i r="1">
      <x v="6"/>
    </i>
    <i>
      <x v="1"/>
    </i>
    <i r="1">
      <x/>
    </i>
    <i r="1">
      <x v="2"/>
    </i>
    <i r="1">
      <x v="7"/>
    </i>
    <i r="1">
      <x v="3"/>
    </i>
    <i r="1">
      <x v="4"/>
    </i>
    <i r="1">
      <x v="8"/>
    </i>
    <i r="1">
      <x v="1"/>
    </i>
    <i r="1">
      <x v="5"/>
    </i>
    <i r="1">
      <x v="6"/>
    </i>
    <i>
      <x v="2"/>
    </i>
    <i r="1">
      <x v="2"/>
    </i>
    <i r="1">
      <x/>
    </i>
    <i r="1">
      <x v="7"/>
    </i>
    <i r="1">
      <x v="3"/>
    </i>
    <i r="1">
      <x v="4"/>
    </i>
    <i r="1">
      <x v="5"/>
    </i>
    <i r="1">
      <x v="8"/>
    </i>
    <i r="1">
      <x v="1"/>
    </i>
    <i r="1">
      <x v="6"/>
    </i>
    <i>
      <x v="3"/>
    </i>
    <i r="1">
      <x v="7"/>
    </i>
    <i r="1">
      <x v="2"/>
    </i>
    <i r="1">
      <x/>
    </i>
    <i r="1">
      <x v="3"/>
    </i>
    <i r="1">
      <x v="4"/>
    </i>
    <i r="1">
      <x v="8"/>
    </i>
    <i r="1">
      <x v="5"/>
    </i>
    <i r="1">
      <x v="1"/>
    </i>
    <i r="1">
      <x v="6"/>
    </i>
    <i>
      <x v="4"/>
    </i>
    <i r="1">
      <x v="7"/>
    </i>
    <i r="1">
      <x v="2"/>
    </i>
    <i r="1">
      <x v="3"/>
    </i>
    <i r="1">
      <x v="4"/>
    </i>
    <i r="1">
      <x/>
    </i>
    <i r="1">
      <x v="5"/>
    </i>
    <i r="1">
      <x v="8"/>
    </i>
    <i r="1">
      <x v="1"/>
    </i>
    <i r="1">
      <x v="6"/>
    </i>
    <i>
      <x v="5"/>
    </i>
    <i r="1">
      <x/>
    </i>
    <i r="1">
      <x v="2"/>
    </i>
    <i r="1">
      <x v="7"/>
    </i>
    <i r="1">
      <x v="3"/>
    </i>
    <i r="1">
      <x v="4"/>
    </i>
    <i r="1">
      <x v="8"/>
    </i>
    <i r="1">
      <x v="5"/>
    </i>
    <i r="1">
      <x v="1"/>
    </i>
    <i r="1">
      <x v="6"/>
    </i>
    <i>
      <x v="6"/>
    </i>
    <i r="1">
      <x v="3"/>
    </i>
    <i r="1">
      <x/>
    </i>
    <i r="1">
      <x v="2"/>
    </i>
    <i r="1">
      <x v="5"/>
    </i>
    <i r="1">
      <x v="7"/>
    </i>
    <i r="1">
      <x v="4"/>
    </i>
    <i r="1">
      <x v="8"/>
    </i>
    <i r="1">
      <x v="1"/>
    </i>
    <i r="1">
      <x v="6"/>
    </i>
    <i>
      <x v="7"/>
    </i>
    <i r="1">
      <x v="2"/>
    </i>
    <i r="1">
      <x/>
    </i>
    <i r="1">
      <x v="7"/>
    </i>
    <i r="1">
      <x v="3"/>
    </i>
    <i r="1">
      <x v="8"/>
    </i>
    <i r="1">
      <x v="4"/>
    </i>
    <i r="1">
      <x v="1"/>
    </i>
    <i r="1">
      <x v="5"/>
    </i>
    <i r="1">
      <x v="6"/>
    </i>
    <i>
      <x v="8"/>
    </i>
    <i r="1">
      <x v="3"/>
    </i>
    <i r="1">
      <x/>
    </i>
    <i r="1">
      <x v="2"/>
    </i>
    <i r="1">
      <x v="7"/>
    </i>
    <i r="1">
      <x v="5"/>
    </i>
    <i r="1">
      <x v="8"/>
    </i>
    <i r="1">
      <x v="4"/>
    </i>
    <i r="1">
      <x v="1"/>
    </i>
    <i r="1">
      <x v="6"/>
    </i>
    <i>
      <x v="9"/>
    </i>
    <i r="1">
      <x/>
    </i>
    <i r="1">
      <x v="2"/>
    </i>
    <i r="1">
      <x v="7"/>
    </i>
    <i r="1">
      <x v="3"/>
    </i>
    <i r="1">
      <x v="8"/>
    </i>
    <i r="1">
      <x v="4"/>
    </i>
    <i r="1">
      <x v="1"/>
    </i>
    <i r="1">
      <x v="6"/>
    </i>
    <i>
      <x v="10"/>
    </i>
    <i r="1">
      <x v="8"/>
    </i>
    <i r="1">
      <x v="3"/>
    </i>
    <i r="1">
      <x/>
    </i>
    <i r="1">
      <x v="2"/>
    </i>
    <i r="1">
      <x v="5"/>
    </i>
    <i r="1">
      <x v="7"/>
    </i>
    <i r="1">
      <x v="4"/>
    </i>
    <i r="1">
      <x v="6"/>
    </i>
    <i r="1">
      <x v="1"/>
    </i>
    <i>
      <x v="11"/>
    </i>
    <i r="1">
      <x v="2"/>
    </i>
    <i r="1">
      <x/>
    </i>
    <i r="1">
      <x v="3"/>
    </i>
    <i r="1">
      <x v="8"/>
    </i>
    <i r="1">
      <x v="7"/>
    </i>
    <i r="1">
      <x v="1"/>
    </i>
    <i r="1">
      <x v="5"/>
    </i>
    <i r="1">
      <x v="4"/>
    </i>
    <i r="1">
      <x v="6"/>
    </i>
    <i>
      <x v="12"/>
    </i>
    <i r="1">
      <x v="2"/>
    </i>
    <i r="1">
      <x/>
    </i>
    <i r="1">
      <x v="3"/>
    </i>
    <i r="1">
      <x v="1"/>
    </i>
    <i r="1">
      <x v="7"/>
    </i>
    <i r="1">
      <x v="4"/>
    </i>
    <i r="1">
      <x v="8"/>
    </i>
    <i r="1">
      <x v="5"/>
    </i>
    <i>
      <x v="13"/>
    </i>
    <i r="1">
      <x v="8"/>
    </i>
    <i r="1">
      <x v="3"/>
    </i>
    <i r="1">
      <x/>
    </i>
    <i r="1">
      <x v="5"/>
    </i>
    <i r="1">
      <x v="2"/>
    </i>
    <i r="1">
      <x v="7"/>
    </i>
    <i r="1">
      <x v="4"/>
    </i>
    <i r="1">
      <x v="1"/>
    </i>
    <i r="1">
      <x v="6"/>
    </i>
    <i>
      <x v="14"/>
    </i>
    <i r="1">
      <x v="8"/>
    </i>
    <i r="1">
      <x v="5"/>
    </i>
    <i r="1">
      <x v="7"/>
    </i>
    <i r="1">
      <x v="2"/>
    </i>
    <i r="1">
      <x/>
    </i>
    <i r="1">
      <x v="3"/>
    </i>
    <i r="1">
      <x v="1"/>
    </i>
    <i>
      <x v="15"/>
    </i>
    <i r="1">
      <x v="5"/>
    </i>
    <i r="1">
      <x v="8"/>
    </i>
    <i r="1">
      <x v="3"/>
    </i>
    <i r="1">
      <x v="2"/>
    </i>
    <i r="1">
      <x v="7"/>
    </i>
    <i>
      <x v="16"/>
    </i>
    <i r="1">
      <x v="5"/>
    </i>
    <i r="1">
      <x v="8"/>
    </i>
    <i r="1">
      <x v="3"/>
    </i>
    <i r="1">
      <x v="2"/>
    </i>
    <i r="1">
      <x/>
    </i>
    <i r="1">
      <x v="7"/>
    </i>
    <i>
      <x v="17"/>
    </i>
    <i r="1">
      <x v="5"/>
    </i>
    <i r="1">
      <x v="3"/>
    </i>
    <i r="1">
      <x v="2"/>
    </i>
    <i r="1">
      <x v="8"/>
    </i>
    <i r="1">
      <x/>
    </i>
    <i r="1">
      <x v="7"/>
    </i>
    <i>
      <x v="18"/>
    </i>
    <i r="1">
      <x v="2"/>
    </i>
    <i r="1">
      <x v="5"/>
    </i>
    <i r="1">
      <x v="7"/>
    </i>
    <i r="1">
      <x v="3"/>
    </i>
    <i r="1">
      <x v="8"/>
    </i>
    <i>
      <x v="19"/>
    </i>
    <i r="1">
      <x v="2"/>
    </i>
    <i t="grand">
      <x/>
    </i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pageFields count="2">
    <pageField fld="7" hier="-1"/>
    <pageField fld="0" hier="-1"/>
  </pageFields>
  <dataFields count="9">
    <dataField name="Quantity" fld="3" baseField="0" baseItem="0"/>
    <dataField name="Total Price" fld="4" baseField="2" baseItem="0" numFmtId="164"/>
    <dataField name="Average Price" fld="36" baseField="2" baseItem="0" numFmtId="164"/>
    <dataField name="Average Product Score" fld="11" subtotal="average" baseField="2" baseItem="0" numFmtId="2"/>
    <dataField name="Number of customers per product" fld="12" baseField="0" baseItem="0"/>
    <dataField name=" %price change" fld="37" baseField="2" baseItem="0" numFmtId="10"/>
    <dataField name="%unit change" fld="38" baseField="2" baseItem="0" numFmtId="10"/>
    <dataField name="average_qty" fld="39" baseField="0" baseItem="0"/>
    <dataField name="Elasticity_capped" fld="41" baseField="0" baseItem="0" numFmtId="10"/>
  </dataFields>
  <formats count="4">
    <format dxfId="19">
      <pivotArea collapsedLevelsAreSubtotals="1" fieldPosition="0">
        <references count="2">
          <reference field="4294967294" count="1" selected="0">
            <x v="3"/>
          </reference>
          <reference field="2" count="1">
            <x v="18"/>
          </reference>
        </references>
      </pivotArea>
    </format>
    <format dxfId="18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17">
      <pivotArea outline="0" fieldPosition="0">
        <references count="1">
          <reference field="4294967294" count="1">
            <x v="5"/>
          </reference>
        </references>
      </pivotArea>
    </format>
    <format dxfId="16">
      <pivotArea outline="0" fieldPosition="0">
        <references count="1">
          <reference field="4294967294" count="1">
            <x v="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83B934-2152-4034-A8FB-C8FBD6AE0358}" name="Table1" displayName="Table1" ref="A1:AG677" totalsRowShown="0">
  <autoFilter ref="A1:AG677" xr:uid="{5583B934-2152-4034-A8FB-C8FBD6AE0358}"/>
  <tableColumns count="33">
    <tableColumn id="1" xr3:uid="{84B6D6F8-0A97-4195-A84E-B9C2DD956633}" name="product_id"/>
    <tableColumn id="2" xr3:uid="{BA5C698B-4AC4-4BE2-9AAA-D21F67B3D105}" name="product_category_name"/>
    <tableColumn id="3" xr3:uid="{1E155B2A-46EC-4192-93D6-D2EDDBF56C53}" name="month_year" dataDxfId="15"/>
    <tableColumn id="4" xr3:uid="{903B48D7-C79D-40B5-9BA7-FC9B76F63298}" name="qty"/>
    <tableColumn id="5" xr3:uid="{C34C2521-0FA5-4CF4-B927-615C6C976E8D}" name="total_price"/>
    <tableColumn id="6" xr3:uid="{CA5ECAEE-C064-454F-8EEE-45FD82F2AFDB}" name="freight_price"/>
    <tableColumn id="7" xr3:uid="{2FDF4EAD-8600-4DB3-B796-D732CA48632B}" name="unit_price"/>
    <tableColumn id="8" xr3:uid="{9B6D1630-8CF1-41C9-AD69-7BFEEB2A5025}" name="product_name_lenght"/>
    <tableColumn id="9" xr3:uid="{2E7430C3-FBA4-4D02-BB49-6F77AFD0C0F6}" name="product_description_lenght"/>
    <tableColumn id="10" xr3:uid="{FFD6C108-5BBC-43B7-BE6E-6A8F0DD11A22}" name="product_photos_qty"/>
    <tableColumn id="11" xr3:uid="{C716E5A6-81FF-4C19-BE9D-08C6F0152CB5}" name="product_weight_g"/>
    <tableColumn id="12" xr3:uid="{8E4188BE-2592-4622-91AD-9D3F89A11B6F}" name="product_score"/>
    <tableColumn id="13" xr3:uid="{AE42B671-18E7-44FD-9735-8F34CC738E5C}" name="customers"/>
    <tableColumn id="14" xr3:uid="{5CA9AF19-1AA6-44C5-9251-D4426EDC0431}" name="weekday"/>
    <tableColumn id="15" xr3:uid="{8D979669-6025-4CAE-B9C6-6598AA254050}" name="weekend"/>
    <tableColumn id="16" xr3:uid="{F7807043-8BDF-4894-AEF3-E1FCDCFE50C1}" name="holiday"/>
    <tableColumn id="17" xr3:uid="{BF3BA20F-8A6A-4E5E-862A-633481826C99}" name="month"/>
    <tableColumn id="18" xr3:uid="{83334115-4C99-442A-8422-6428B7C0C271}" name="year"/>
    <tableColumn id="19" xr3:uid="{4DC2DD66-0AD9-48C6-B834-D249F0E9D2E7}" name="s"/>
    <tableColumn id="20" xr3:uid="{5BF5A7D8-7AC2-4F0C-95E1-31FC0BAB6FDB}" name="volume"/>
    <tableColumn id="21" xr3:uid="{83D7B3A3-CE33-471D-AC3B-84B069443318}" name="comp_1"/>
    <tableColumn id="22" xr3:uid="{77DE37C7-7168-4B54-AE8C-E3A01CF10FC5}" name="ps1"/>
    <tableColumn id="23" xr3:uid="{DE300EC7-95EE-45A5-BDF1-EB03B574E965}" name="fp1"/>
    <tableColumn id="24" xr3:uid="{DA115834-91C3-4361-B7D7-A95310D5C80A}" name="comp_2"/>
    <tableColumn id="25" xr3:uid="{21317B5D-21BF-44B4-BD11-FEBFEB63B277}" name="ps2"/>
    <tableColumn id="26" xr3:uid="{DF393A4D-AE9F-452B-9370-FDC22F143D62}" name="fp2"/>
    <tableColumn id="27" xr3:uid="{A38D1FAA-36AD-4F52-B701-79F6B179A5E5}" name="comp_3"/>
    <tableColumn id="28" xr3:uid="{FBED6CB4-25C9-4DBE-AF55-71751ECC5788}" name="ps3"/>
    <tableColumn id="29" xr3:uid="{51DB5587-580B-48B1-8036-74F4C525A727}" name="fp3"/>
    <tableColumn id="30" xr3:uid="{8EABBF8B-6293-4A30-89D1-82DA5DCD4F97}" name="lag_price"/>
    <tableColumn id="62" xr3:uid="{25295BE2-5F9C-4E42-B4C1-197DA488F8C9}" name="Average Price" dataDxfId="14">
      <calculatedColumnFormula>Table1[[#This Row],[total_price]]/Table1[[#This Row],[qty]]</calculatedColumnFormula>
    </tableColumn>
    <tableColumn id="63" xr3:uid="{4D42EB5B-636A-4C0D-9ADD-3CC204836076}" name="Lag_Avg_Price" dataDxfId="13">
      <calculatedColumnFormula>IF(A2=A1,AE1,"")</calculatedColumnFormula>
    </tableColumn>
    <tableColumn id="65" xr3:uid="{EB9CBD2C-8A47-4109-ABBA-2738268B0FDA}" name="Lag_Avg_Units_Sold" dataDxfId="12">
      <calculatedColumnFormula>IF(ROW()=2, "", AVERAGE(D1:D$2))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80F96-2EA3-4CCA-B94B-38B9819FE44C}">
  <dimension ref="A1:K179"/>
  <sheetViews>
    <sheetView workbookViewId="0">
      <selection activeCell="H18" sqref="H18"/>
    </sheetView>
  </sheetViews>
  <sheetFormatPr defaultRowHeight="15" x14ac:dyDescent="0.25"/>
  <cols>
    <col min="1" max="1" width="26" bestFit="1" customWidth="1"/>
    <col min="2" max="2" width="8.7109375" bestFit="1" customWidth="1"/>
    <col min="3" max="3" width="11.140625" bestFit="1" customWidth="1"/>
    <col min="4" max="4" width="13.28515625" bestFit="1" customWidth="1"/>
    <col min="5" max="5" width="21.5703125" bestFit="1" customWidth="1"/>
    <col min="6" max="6" width="32.140625" bestFit="1" customWidth="1"/>
    <col min="7" max="7" width="14.5703125" bestFit="1" customWidth="1"/>
    <col min="8" max="8" width="13.140625" bestFit="1" customWidth="1"/>
    <col min="9" max="9" width="11.7109375" bestFit="1" customWidth="1"/>
    <col min="10" max="10" width="16.85546875" bestFit="1" customWidth="1"/>
    <col min="11" max="11" width="23" bestFit="1" customWidth="1"/>
    <col min="12" max="12" width="5" bestFit="1" customWidth="1"/>
    <col min="13" max="13" width="4" bestFit="1" customWidth="1"/>
    <col min="14" max="14" width="10.42578125" bestFit="1" customWidth="1"/>
    <col min="15" max="17" width="10.140625" bestFit="1" customWidth="1"/>
    <col min="18" max="18" width="11.140625" bestFit="1" customWidth="1"/>
    <col min="19" max="25" width="10.140625" bestFit="1" customWidth="1"/>
    <col min="26" max="26" width="13.28515625" bestFit="1" customWidth="1"/>
    <col min="27" max="37" width="7.5703125" bestFit="1" customWidth="1"/>
    <col min="38" max="38" width="20.85546875" bestFit="1" customWidth="1"/>
    <col min="39" max="49" width="6" bestFit="1" customWidth="1"/>
    <col min="50" max="50" width="17.5703125" bestFit="1" customWidth="1"/>
    <col min="51" max="61" width="5" bestFit="1" customWidth="1"/>
    <col min="62" max="62" width="13.7109375" bestFit="1" customWidth="1"/>
    <col min="63" max="63" width="15.42578125" bestFit="1" customWidth="1"/>
    <col min="64" max="64" width="18.28515625" bestFit="1" customWidth="1"/>
    <col min="65" max="65" width="26" bestFit="1" customWidth="1"/>
    <col min="66" max="66" width="22.5703125" bestFit="1" customWidth="1"/>
  </cols>
  <sheetData>
    <row r="1" spans="1:11" x14ac:dyDescent="0.25">
      <c r="A1" s="2" t="s">
        <v>7</v>
      </c>
      <c r="B1" t="s">
        <v>93</v>
      </c>
    </row>
    <row r="2" spans="1:11" x14ac:dyDescent="0.25">
      <c r="A2" s="2" t="s">
        <v>0</v>
      </c>
      <c r="B2" t="s">
        <v>93</v>
      </c>
    </row>
    <row r="4" spans="1:11" x14ac:dyDescent="0.25">
      <c r="A4" s="2" t="s">
        <v>91</v>
      </c>
      <c r="B4" t="s">
        <v>94</v>
      </c>
      <c r="C4" t="s">
        <v>95</v>
      </c>
      <c r="D4" t="s">
        <v>96</v>
      </c>
      <c r="E4" t="s">
        <v>97</v>
      </c>
      <c r="F4" t="s">
        <v>98</v>
      </c>
      <c r="G4" t="s">
        <v>100</v>
      </c>
      <c r="H4" t="s">
        <v>102</v>
      </c>
      <c r="I4" t="s">
        <v>104</v>
      </c>
      <c r="J4" t="s">
        <v>103</v>
      </c>
    </row>
    <row r="5" spans="1:11" x14ac:dyDescent="0.25">
      <c r="A5" s="4">
        <v>42746</v>
      </c>
      <c r="B5" s="8">
        <v>1051</v>
      </c>
      <c r="C5" s="5">
        <v>87009.76999999999</v>
      </c>
      <c r="D5" s="5">
        <v>82.787602283539471</v>
      </c>
      <c r="E5" s="6">
        <v>4.0749999999999993</v>
      </c>
      <c r="F5" s="8">
        <v>6108</v>
      </c>
      <c r="G5" s="7">
        <v>3.2184118716586399E-2</v>
      </c>
      <c r="H5" s="7">
        <v>0.74238595078112601</v>
      </c>
      <c r="I5" s="8">
        <v>1051</v>
      </c>
      <c r="J5" s="7">
        <v>5</v>
      </c>
    </row>
    <row r="6" spans="1:11" x14ac:dyDescent="0.25">
      <c r="A6" s="3" t="s">
        <v>33</v>
      </c>
      <c r="B6" s="8">
        <v>437</v>
      </c>
      <c r="C6" s="5">
        <v>27562.77</v>
      </c>
      <c r="D6" s="5">
        <v>63.07270022883295</v>
      </c>
      <c r="E6" s="6">
        <v>4.1599999999999993</v>
      </c>
      <c r="F6" s="8">
        <v>3390</v>
      </c>
      <c r="G6" s="7">
        <v>-5.5257451629633324E-2</v>
      </c>
      <c r="H6" s="7">
        <v>2.2648042214691158</v>
      </c>
      <c r="I6" s="8">
        <v>437</v>
      </c>
      <c r="J6" s="7">
        <v>-5</v>
      </c>
    </row>
    <row r="7" spans="1:11" x14ac:dyDescent="0.25">
      <c r="A7" s="3" t="s">
        <v>55</v>
      </c>
      <c r="B7" s="8">
        <v>95</v>
      </c>
      <c r="C7" s="5">
        <v>15861.36</v>
      </c>
      <c r="D7" s="5">
        <v>166.96168421052633</v>
      </c>
      <c r="E7" s="6">
        <v>3.9857142857142853</v>
      </c>
      <c r="F7" s="8">
        <v>637</v>
      </c>
      <c r="G7" s="7">
        <v>1.9302412663647288E-2</v>
      </c>
      <c r="H7" s="7">
        <v>-9.2726112767811869E-2</v>
      </c>
      <c r="I7" s="8">
        <v>95</v>
      </c>
      <c r="J7" s="7">
        <v>-4.8038612780486893</v>
      </c>
    </row>
    <row r="8" spans="1:11" x14ac:dyDescent="0.25">
      <c r="A8" s="3" t="s">
        <v>38</v>
      </c>
      <c r="B8" s="8">
        <v>143</v>
      </c>
      <c r="C8" s="5">
        <v>15109.76</v>
      </c>
      <c r="D8" s="5">
        <v>105.66265734265734</v>
      </c>
      <c r="E8" s="6">
        <v>4.1571428571428566</v>
      </c>
      <c r="F8" s="8">
        <v>973</v>
      </c>
      <c r="G8" s="7">
        <v>-2.8837546598982577E-2</v>
      </c>
      <c r="H8" s="7">
        <v>0.48678694403103046</v>
      </c>
      <c r="I8" s="8">
        <v>143</v>
      </c>
      <c r="J8" s="7">
        <v>-5</v>
      </c>
    </row>
    <row r="9" spans="1:11" x14ac:dyDescent="0.25">
      <c r="A9" s="3" t="s">
        <v>31</v>
      </c>
      <c r="B9" s="8">
        <v>105</v>
      </c>
      <c r="C9" s="5">
        <v>7641.52</v>
      </c>
      <c r="D9" s="5">
        <v>72.776380952380961</v>
      </c>
      <c r="E9" s="6">
        <v>3.8499999999999996</v>
      </c>
      <c r="F9" s="8">
        <v>388</v>
      </c>
      <c r="G9" s="7">
        <v>-2.4544948595482653E-2</v>
      </c>
      <c r="H9" s="7">
        <v>1.2556559406766055</v>
      </c>
      <c r="I9" s="8">
        <v>105</v>
      </c>
      <c r="J9" s="7">
        <v>-5</v>
      </c>
    </row>
    <row r="10" spans="1:11" x14ac:dyDescent="0.25">
      <c r="A10" s="3" t="s">
        <v>40</v>
      </c>
      <c r="B10" s="8">
        <v>42</v>
      </c>
      <c r="C10" s="5">
        <v>6018.579999999999</v>
      </c>
      <c r="D10" s="5">
        <v>143.29952380952378</v>
      </c>
      <c r="E10" s="6">
        <v>4.1499999999999995</v>
      </c>
      <c r="F10" s="8">
        <v>168</v>
      </c>
      <c r="G10" s="7">
        <v>4.3623373244753988E-2</v>
      </c>
      <c r="H10" s="7">
        <v>-0.1920238122596494</v>
      </c>
      <c r="I10" s="8">
        <v>42</v>
      </c>
      <c r="J10" s="7">
        <v>-4.4018561146630626</v>
      </c>
    </row>
    <row r="11" spans="1:11" x14ac:dyDescent="0.25">
      <c r="A11" s="3" t="s">
        <v>48</v>
      </c>
      <c r="B11" s="8">
        <v>43</v>
      </c>
      <c r="C11" s="5">
        <v>5885.32</v>
      </c>
      <c r="D11" s="5">
        <v>136.86790697674417</v>
      </c>
      <c r="E11" s="6">
        <v>3.9749999999999996</v>
      </c>
      <c r="F11" s="8">
        <v>144</v>
      </c>
      <c r="G11" s="7">
        <v>0.26869789029409052</v>
      </c>
      <c r="H11" s="7">
        <v>-0.26780191323764507</v>
      </c>
      <c r="I11" s="8">
        <v>43</v>
      </c>
      <c r="J11" s="7">
        <v>-0.99666548533200316</v>
      </c>
    </row>
    <row r="12" spans="1:11" x14ac:dyDescent="0.25">
      <c r="A12" s="3" t="s">
        <v>68</v>
      </c>
      <c r="B12" s="8">
        <v>107</v>
      </c>
      <c r="C12" s="5">
        <v>5596.76</v>
      </c>
      <c r="D12" s="5">
        <v>52.306168224299064</v>
      </c>
      <c r="E12" s="6">
        <v>4</v>
      </c>
      <c r="F12" s="8">
        <v>256</v>
      </c>
      <c r="G12" s="7">
        <v>0.62044222827470896</v>
      </c>
      <c r="H12" s="7">
        <v>0.82648717864523902</v>
      </c>
      <c r="I12" s="8">
        <v>107</v>
      </c>
      <c r="J12" s="7">
        <v>1.332093692177414</v>
      </c>
    </row>
    <row r="13" spans="1:11" x14ac:dyDescent="0.25">
      <c r="A13" s="3" t="s">
        <v>43</v>
      </c>
      <c r="B13" s="8">
        <v>28</v>
      </c>
      <c r="C13" s="5">
        <v>2084.1999999999998</v>
      </c>
      <c r="D13" s="5">
        <v>74.435714285714283</v>
      </c>
      <c r="E13" s="6">
        <v>4.3499999999999996</v>
      </c>
      <c r="F13" s="8">
        <v>54</v>
      </c>
      <c r="G13" s="7">
        <v>-0.12256253446288043</v>
      </c>
      <c r="H13" s="7">
        <v>1.6337689711175728E-2</v>
      </c>
      <c r="I13" s="8">
        <v>28</v>
      </c>
      <c r="J13" s="7">
        <v>-0.13330084746349463</v>
      </c>
    </row>
    <row r="14" spans="1:11" x14ac:dyDescent="0.25">
      <c r="A14" s="3" t="s">
        <v>35</v>
      </c>
      <c r="B14" s="8">
        <v>51</v>
      </c>
      <c r="C14" s="5">
        <v>1249.5</v>
      </c>
      <c r="D14" s="5">
        <v>24.5</v>
      </c>
      <c r="E14" s="6">
        <v>4.05</v>
      </c>
      <c r="F14" s="8">
        <v>98</v>
      </c>
      <c r="G14" s="7">
        <v>0.16087545126353772</v>
      </c>
      <c r="H14" s="7">
        <v>1.0348526602905213</v>
      </c>
      <c r="I14" s="8">
        <v>51</v>
      </c>
      <c r="J14" s="7">
        <v>5</v>
      </c>
      <c r="K14" t="s">
        <v>105</v>
      </c>
    </row>
    <row r="15" spans="1:11" x14ac:dyDescent="0.25">
      <c r="A15" s="4">
        <v>43105</v>
      </c>
      <c r="B15" s="8">
        <v>898</v>
      </c>
      <c r="C15" s="5">
        <v>91223.46</v>
      </c>
      <c r="D15" s="5">
        <v>101.585144766147</v>
      </c>
      <c r="E15" s="6">
        <v>4.0849999999999991</v>
      </c>
      <c r="F15" s="8">
        <v>5294</v>
      </c>
      <c r="G15" s="7">
        <v>-1.4906793010932361E-2</v>
      </c>
      <c r="H15" s="7">
        <v>0.58044021055353956</v>
      </c>
      <c r="I15" s="8">
        <v>898</v>
      </c>
      <c r="J15" s="7">
        <v>-5</v>
      </c>
    </row>
    <row r="16" spans="1:11" x14ac:dyDescent="0.25">
      <c r="A16" s="3" t="s">
        <v>55</v>
      </c>
      <c r="B16" s="8">
        <v>280</v>
      </c>
      <c r="C16" s="5">
        <v>36629.399999999994</v>
      </c>
      <c r="D16" s="5">
        <v>130.81928571428568</v>
      </c>
      <c r="E16" s="6">
        <v>3.9999999999999996</v>
      </c>
      <c r="F16" s="8">
        <v>2080</v>
      </c>
      <c r="G16" s="7">
        <v>-4.4136210179029127E-2</v>
      </c>
      <c r="H16" s="7">
        <v>1.3423341413203422</v>
      </c>
      <c r="I16" s="8">
        <v>280</v>
      </c>
      <c r="J16" s="7">
        <v>-5</v>
      </c>
    </row>
    <row r="17" spans="1:10" x14ac:dyDescent="0.25">
      <c r="A17" s="3" t="s">
        <v>38</v>
      </c>
      <c r="B17" s="8">
        <v>172</v>
      </c>
      <c r="C17" s="5">
        <v>19077.099999999999</v>
      </c>
      <c r="D17" s="5">
        <v>110.91337209302324</v>
      </c>
      <c r="E17" s="6">
        <v>4.166666666666667</v>
      </c>
      <c r="F17" s="8">
        <v>1431</v>
      </c>
      <c r="G17" s="7">
        <v>3.0907684039576827E-3</v>
      </c>
      <c r="H17" s="7">
        <v>0.39887081040936229</v>
      </c>
      <c r="I17" s="8">
        <v>172</v>
      </c>
      <c r="J17" s="7">
        <v>5</v>
      </c>
    </row>
    <row r="18" spans="1:10" x14ac:dyDescent="0.25">
      <c r="A18" s="3" t="s">
        <v>48</v>
      </c>
      <c r="B18" s="8">
        <v>88</v>
      </c>
      <c r="C18" s="5">
        <v>11646.699999999999</v>
      </c>
      <c r="D18" s="5">
        <v>132.34886363636363</v>
      </c>
      <c r="E18" s="6">
        <v>4</v>
      </c>
      <c r="F18" s="8">
        <v>234</v>
      </c>
      <c r="G18" s="7">
        <v>-6.5276489161723182E-3</v>
      </c>
      <c r="H18" s="7">
        <v>1.0083725281299205</v>
      </c>
      <c r="I18" s="8">
        <v>88</v>
      </c>
      <c r="J18" s="7">
        <v>-5</v>
      </c>
    </row>
    <row r="19" spans="1:10" x14ac:dyDescent="0.25">
      <c r="A19" s="3" t="s">
        <v>33</v>
      </c>
      <c r="B19" s="8">
        <v>153</v>
      </c>
      <c r="C19" s="5">
        <v>9063.0000000000018</v>
      </c>
      <c r="D19" s="5">
        <v>59.235294117647072</v>
      </c>
      <c r="E19" s="6">
        <v>4.1666666666666661</v>
      </c>
      <c r="F19" s="8">
        <v>918</v>
      </c>
      <c r="G19" s="7">
        <v>-1.1678759537317568E-2</v>
      </c>
      <c r="H19" s="7">
        <v>0.19390531888868071</v>
      </c>
      <c r="I19" s="8">
        <v>153</v>
      </c>
      <c r="J19" s="7">
        <v>-5</v>
      </c>
    </row>
    <row r="20" spans="1:10" x14ac:dyDescent="0.25">
      <c r="A20" s="3" t="s">
        <v>68</v>
      </c>
      <c r="B20" s="8">
        <v>120</v>
      </c>
      <c r="C20" s="5">
        <v>8254.5</v>
      </c>
      <c r="D20" s="5">
        <v>68.787499999999994</v>
      </c>
      <c r="E20" s="6">
        <v>4</v>
      </c>
      <c r="F20" s="8">
        <v>380</v>
      </c>
      <c r="G20" s="7">
        <v>0</v>
      </c>
      <c r="H20" s="7">
        <v>1.0305494808004734</v>
      </c>
      <c r="I20" s="8">
        <v>120</v>
      </c>
      <c r="J20" s="7">
        <v>0</v>
      </c>
    </row>
    <row r="21" spans="1:10" x14ac:dyDescent="0.25">
      <c r="A21" s="3" t="s">
        <v>31</v>
      </c>
      <c r="B21" s="8">
        <v>61</v>
      </c>
      <c r="C21" s="5">
        <v>4265.8599999999997</v>
      </c>
      <c r="D21" s="5">
        <v>69.932131147540971</v>
      </c>
      <c r="E21" s="6">
        <v>3.8499999999999996</v>
      </c>
      <c r="F21" s="8">
        <v>228</v>
      </c>
      <c r="G21" s="7">
        <v>-1.408376920044018E-2</v>
      </c>
      <c r="H21" s="7">
        <v>0.17312244845860597</v>
      </c>
      <c r="I21" s="8">
        <v>61</v>
      </c>
      <c r="J21" s="7">
        <v>-5</v>
      </c>
    </row>
    <row r="22" spans="1:10" x14ac:dyDescent="0.25">
      <c r="A22" s="3" t="s">
        <v>43</v>
      </c>
      <c r="B22" s="8">
        <v>17</v>
      </c>
      <c r="C22" s="5">
        <v>2038.3</v>
      </c>
      <c r="D22" s="5">
        <v>119.89999999999999</v>
      </c>
      <c r="E22" s="6">
        <v>4.4000000000000004</v>
      </c>
      <c r="F22" s="8">
        <v>16</v>
      </c>
      <c r="G22" s="7">
        <v>1.6317016317016295E-2</v>
      </c>
      <c r="H22" s="7">
        <v>5.8490566037735739E-2</v>
      </c>
      <c r="I22" s="8">
        <v>17</v>
      </c>
      <c r="J22" s="7">
        <v>3.5846361185983806</v>
      </c>
    </row>
    <row r="23" spans="1:10" x14ac:dyDescent="0.25">
      <c r="A23" s="3" t="s">
        <v>40</v>
      </c>
      <c r="B23" s="8">
        <v>4</v>
      </c>
      <c r="C23" s="5">
        <v>140</v>
      </c>
      <c r="D23" s="5">
        <v>35</v>
      </c>
      <c r="E23" s="6">
        <v>4.4000000000000004</v>
      </c>
      <c r="F23" s="8">
        <v>4</v>
      </c>
      <c r="G23" s="7">
        <v>0</v>
      </c>
      <c r="H23" s="7">
        <v>-0.7579617834394905</v>
      </c>
      <c r="I23" s="8">
        <v>4</v>
      </c>
      <c r="J23" s="7">
        <v>0</v>
      </c>
    </row>
    <row r="24" spans="1:10" x14ac:dyDescent="0.25">
      <c r="A24" s="3" t="s">
        <v>35</v>
      </c>
      <c r="B24" s="8">
        <v>3</v>
      </c>
      <c r="C24" s="5">
        <v>108.6</v>
      </c>
      <c r="D24" s="5">
        <v>36.199999999999996</v>
      </c>
      <c r="E24" s="6">
        <v>4.2</v>
      </c>
      <c r="F24" s="8">
        <v>3</v>
      </c>
      <c r="G24" s="7">
        <v>3.2599837000814882E-2</v>
      </c>
      <c r="H24" s="7">
        <v>-0.70153061224489799</v>
      </c>
      <c r="I24" s="8">
        <v>3</v>
      </c>
      <c r="J24" s="7">
        <v>-5</v>
      </c>
    </row>
    <row r="25" spans="1:10" x14ac:dyDescent="0.25">
      <c r="A25" s="4">
        <v>43103</v>
      </c>
      <c r="B25" s="8">
        <v>824</v>
      </c>
      <c r="C25" s="5">
        <v>85049.85000000002</v>
      </c>
      <c r="D25" s="5">
        <v>103.2158373786408</v>
      </c>
      <c r="E25" s="6">
        <v>4.0720000000000001</v>
      </c>
      <c r="F25" s="8">
        <v>5276</v>
      </c>
      <c r="G25" s="7">
        <v>-2.7584131857579432E-2</v>
      </c>
      <c r="H25" s="7">
        <v>0.17947159013922667</v>
      </c>
      <c r="I25" s="8">
        <v>824</v>
      </c>
      <c r="J25" s="7">
        <v>-5</v>
      </c>
    </row>
    <row r="26" spans="1:10" x14ac:dyDescent="0.25">
      <c r="A26" s="3" t="s">
        <v>38</v>
      </c>
      <c r="B26" s="8">
        <v>174</v>
      </c>
      <c r="C26" s="5">
        <v>22478.25</v>
      </c>
      <c r="D26" s="5">
        <v>129.18534482758622</v>
      </c>
      <c r="E26" s="6">
        <v>4.1300000000000008</v>
      </c>
      <c r="F26" s="8">
        <v>1690</v>
      </c>
      <c r="G26" s="7">
        <v>-3.5924507894471011E-3</v>
      </c>
      <c r="H26" s="7">
        <v>0.2527765809421762</v>
      </c>
      <c r="I26" s="8">
        <v>174</v>
      </c>
      <c r="J26" s="7">
        <v>-5</v>
      </c>
    </row>
    <row r="27" spans="1:10" x14ac:dyDescent="0.25">
      <c r="A27" s="3" t="s">
        <v>55</v>
      </c>
      <c r="B27" s="8">
        <v>132</v>
      </c>
      <c r="C27" s="5">
        <v>19894.490000000002</v>
      </c>
      <c r="D27" s="5">
        <v>150.71583333333334</v>
      </c>
      <c r="E27" s="6">
        <v>3.9999999999999996</v>
      </c>
      <c r="F27" s="8">
        <v>1000</v>
      </c>
      <c r="G27" s="7">
        <v>-9.3819443137576411E-2</v>
      </c>
      <c r="H27" s="7">
        <v>0.10675336140113802</v>
      </c>
      <c r="I27" s="8">
        <v>132</v>
      </c>
      <c r="J27" s="7">
        <v>-1.1378596784527422</v>
      </c>
    </row>
    <row r="28" spans="1:10" x14ac:dyDescent="0.25">
      <c r="A28" s="3" t="s">
        <v>48</v>
      </c>
      <c r="B28" s="8">
        <v>141</v>
      </c>
      <c r="C28" s="5">
        <v>17486</v>
      </c>
      <c r="D28" s="5">
        <v>124.01418439716312</v>
      </c>
      <c r="E28" s="6">
        <v>3.9</v>
      </c>
      <c r="F28" s="8">
        <v>635</v>
      </c>
      <c r="G28" s="7">
        <v>6.5400840748222272E-3</v>
      </c>
      <c r="H28" s="7">
        <v>0.95304722059973346</v>
      </c>
      <c r="I28" s="8">
        <v>141</v>
      </c>
      <c r="J28" s="7">
        <v>5</v>
      </c>
    </row>
    <row r="29" spans="1:10" x14ac:dyDescent="0.25">
      <c r="A29" s="3" t="s">
        <v>33</v>
      </c>
      <c r="B29" s="8">
        <v>148</v>
      </c>
      <c r="C29" s="5">
        <v>10293.799999999999</v>
      </c>
      <c r="D29" s="5">
        <v>69.552702702702703</v>
      </c>
      <c r="E29" s="6">
        <v>4.1599999999999993</v>
      </c>
      <c r="F29" s="8">
        <v>1160</v>
      </c>
      <c r="G29" s="7">
        <v>-2.4635685263413964E-3</v>
      </c>
      <c r="H29" s="7">
        <v>8.0908842826018595E-2</v>
      </c>
      <c r="I29" s="8">
        <v>148</v>
      </c>
      <c r="J29" s="7">
        <v>-5</v>
      </c>
    </row>
    <row r="30" spans="1:10" x14ac:dyDescent="0.25">
      <c r="A30" s="3" t="s">
        <v>68</v>
      </c>
      <c r="B30" s="8">
        <v>108</v>
      </c>
      <c r="C30" s="5">
        <v>6837.5</v>
      </c>
      <c r="D30" s="5">
        <v>63.310185185185183</v>
      </c>
      <c r="E30" s="6">
        <v>4</v>
      </c>
      <c r="F30" s="8">
        <v>332</v>
      </c>
      <c r="G30" s="7">
        <v>-2.4968138106824186E-2</v>
      </c>
      <c r="H30" s="7">
        <v>0.83394815538006484</v>
      </c>
      <c r="I30" s="8">
        <v>108</v>
      </c>
      <c r="J30" s="7">
        <v>-5</v>
      </c>
    </row>
    <row r="31" spans="1:10" x14ac:dyDescent="0.25">
      <c r="A31" s="3" t="s">
        <v>40</v>
      </c>
      <c r="B31" s="8">
        <v>45</v>
      </c>
      <c r="C31" s="5">
        <v>3641.6200000000003</v>
      </c>
      <c r="D31" s="5">
        <v>80.924888888888901</v>
      </c>
      <c r="E31" s="6">
        <v>4.2</v>
      </c>
      <c r="F31" s="8">
        <v>225</v>
      </c>
      <c r="G31" s="7">
        <v>5.2227904817087056E-4</v>
      </c>
      <c r="H31" s="7">
        <v>-0.34319484414454465</v>
      </c>
      <c r="I31" s="8">
        <v>45</v>
      </c>
      <c r="J31" s="7">
        <v>-5</v>
      </c>
    </row>
    <row r="32" spans="1:10" x14ac:dyDescent="0.25">
      <c r="A32" s="3" t="s">
        <v>31</v>
      </c>
      <c r="B32" s="8">
        <v>45</v>
      </c>
      <c r="C32" s="5">
        <v>2816.33</v>
      </c>
      <c r="D32" s="5">
        <v>62.585111111111111</v>
      </c>
      <c r="E32" s="6">
        <v>3.8499999999999996</v>
      </c>
      <c r="F32" s="8">
        <v>172</v>
      </c>
      <c r="G32" s="7">
        <v>7.5531553306393759E-3</v>
      </c>
      <c r="H32" s="7">
        <v>-0.11399413252110253</v>
      </c>
      <c r="I32" s="8">
        <v>45</v>
      </c>
      <c r="J32" s="7">
        <v>-5</v>
      </c>
    </row>
    <row r="33" spans="1:10" x14ac:dyDescent="0.25">
      <c r="A33" s="3" t="s">
        <v>43</v>
      </c>
      <c r="B33" s="8">
        <v>18</v>
      </c>
      <c r="C33" s="5">
        <v>1177.6600000000001</v>
      </c>
      <c r="D33" s="5">
        <v>65.425555555555562</v>
      </c>
      <c r="E33" s="6">
        <v>4.3499999999999996</v>
      </c>
      <c r="F33" s="8">
        <v>36</v>
      </c>
      <c r="G33" s="7">
        <v>-3.8259802774875354E-2</v>
      </c>
      <c r="H33" s="7">
        <v>-0.34734827853799849</v>
      </c>
      <c r="I33" s="8">
        <v>18</v>
      </c>
      <c r="J33" s="7">
        <v>5</v>
      </c>
    </row>
    <row r="34" spans="1:10" x14ac:dyDescent="0.25">
      <c r="A34" s="3" t="s">
        <v>35</v>
      </c>
      <c r="B34" s="8">
        <v>13</v>
      </c>
      <c r="C34" s="5">
        <v>424.2</v>
      </c>
      <c r="D34" s="5">
        <v>32.630769230769232</v>
      </c>
      <c r="E34" s="6">
        <v>4.05</v>
      </c>
      <c r="F34" s="8">
        <v>26</v>
      </c>
      <c r="G34" s="7">
        <v>3.7362637362635862E-3</v>
      </c>
      <c r="H34" s="7">
        <v>-0.491584804345917</v>
      </c>
      <c r="I34" s="8">
        <v>13</v>
      </c>
      <c r="J34" s="7">
        <v>-5</v>
      </c>
    </row>
    <row r="35" spans="1:10" x14ac:dyDescent="0.25">
      <c r="A35" s="4">
        <v>43102</v>
      </c>
      <c r="B35" s="8">
        <v>869</v>
      </c>
      <c r="C35" s="5">
        <v>88275.950000000012</v>
      </c>
      <c r="D35" s="5">
        <v>101.58337169159955</v>
      </c>
      <c r="E35" s="6">
        <v>4.0714285714285712</v>
      </c>
      <c r="F35" s="8">
        <v>5238</v>
      </c>
      <c r="G35" s="7">
        <v>-1.3801837864400307E-2</v>
      </c>
      <c r="H35" s="7">
        <v>0.27813664941313121</v>
      </c>
      <c r="I35" s="8">
        <v>869</v>
      </c>
      <c r="J35" s="7">
        <v>-5</v>
      </c>
    </row>
    <row r="36" spans="1:10" x14ac:dyDescent="0.25">
      <c r="A36" s="3" t="s">
        <v>48</v>
      </c>
      <c r="B36" s="8">
        <v>249</v>
      </c>
      <c r="C36" s="5">
        <v>26945.800000000003</v>
      </c>
      <c r="D36" s="5">
        <v>108.21606425702812</v>
      </c>
      <c r="E36" s="6">
        <v>3.9499999999999997</v>
      </c>
      <c r="F36" s="8">
        <v>1212</v>
      </c>
      <c r="G36" s="7">
        <v>-7.1392910106140697E-2</v>
      </c>
      <c r="H36" s="7">
        <v>1.8959694216699126</v>
      </c>
      <c r="I36" s="8">
        <v>249</v>
      </c>
      <c r="J36" s="7">
        <v>-5</v>
      </c>
    </row>
    <row r="37" spans="1:10" x14ac:dyDescent="0.25">
      <c r="A37" s="3" t="s">
        <v>38</v>
      </c>
      <c r="B37" s="8">
        <v>129</v>
      </c>
      <c r="C37" s="5">
        <v>17704.400000000001</v>
      </c>
      <c r="D37" s="5">
        <v>137.2434108527132</v>
      </c>
      <c r="E37" s="6">
        <v>4.155555555555555</v>
      </c>
      <c r="F37" s="8">
        <v>1134</v>
      </c>
      <c r="G37" s="7">
        <v>4.4084040135262473E-2</v>
      </c>
      <c r="H37" s="7">
        <v>4.0692425597145906E-2</v>
      </c>
      <c r="I37" s="8">
        <v>129</v>
      </c>
      <c r="J37" s="7">
        <v>0.92306479787900286</v>
      </c>
    </row>
    <row r="38" spans="1:10" x14ac:dyDescent="0.25">
      <c r="A38" s="3" t="s">
        <v>55</v>
      </c>
      <c r="B38" s="8">
        <v>97</v>
      </c>
      <c r="C38" s="5">
        <v>15852.57</v>
      </c>
      <c r="D38" s="5">
        <v>163.42855670103091</v>
      </c>
      <c r="E38" s="6">
        <v>3.9999999999999996</v>
      </c>
      <c r="F38" s="8">
        <v>720</v>
      </c>
      <c r="G38" s="7">
        <v>-4.9916264342598368E-2</v>
      </c>
      <c r="H38" s="7">
        <v>-0.18709434262925992</v>
      </c>
      <c r="I38" s="8">
        <v>97</v>
      </c>
      <c r="J38" s="7">
        <v>3.7481639520366561</v>
      </c>
    </row>
    <row r="39" spans="1:10" x14ac:dyDescent="0.25">
      <c r="A39" s="3" t="s">
        <v>33</v>
      </c>
      <c r="B39" s="8">
        <v>214</v>
      </c>
      <c r="C39" s="5">
        <v>13942.1</v>
      </c>
      <c r="D39" s="5">
        <v>65.150000000000006</v>
      </c>
      <c r="E39" s="6">
        <v>4.1599999999999993</v>
      </c>
      <c r="F39" s="8">
        <v>1600</v>
      </c>
      <c r="G39" s="7">
        <v>-1.53898263985205E-2</v>
      </c>
      <c r="H39" s="7">
        <v>0.56597561828241205</v>
      </c>
      <c r="I39" s="8">
        <v>214</v>
      </c>
      <c r="J39" s="7">
        <v>-5</v>
      </c>
    </row>
    <row r="40" spans="1:10" x14ac:dyDescent="0.25">
      <c r="A40" s="3" t="s">
        <v>68</v>
      </c>
      <c r="B40" s="8">
        <v>70</v>
      </c>
      <c r="C40" s="5">
        <v>4873.5</v>
      </c>
      <c r="D40" s="5">
        <v>69.621428571428567</v>
      </c>
      <c r="E40" s="6">
        <v>4</v>
      </c>
      <c r="F40" s="8">
        <v>208</v>
      </c>
      <c r="G40" s="7">
        <v>-3.3892222731720289E-4</v>
      </c>
      <c r="H40" s="7">
        <v>0.18907466956247529</v>
      </c>
      <c r="I40" s="8">
        <v>70</v>
      </c>
      <c r="J40" s="7">
        <v>-5</v>
      </c>
    </row>
    <row r="41" spans="1:10" x14ac:dyDescent="0.25">
      <c r="A41" s="3" t="s">
        <v>31</v>
      </c>
      <c r="B41" s="8">
        <v>69</v>
      </c>
      <c r="C41" s="5">
        <v>4562.0199999999995</v>
      </c>
      <c r="D41" s="5">
        <v>66.116231884057967</v>
      </c>
      <c r="E41" s="6">
        <v>3.8499999999999996</v>
      </c>
      <c r="F41" s="8">
        <v>248</v>
      </c>
      <c r="G41" s="7">
        <v>-2.3468748009347309E-2</v>
      </c>
      <c r="H41" s="7">
        <v>0.39153416568448973</v>
      </c>
      <c r="I41" s="8">
        <v>69</v>
      </c>
      <c r="J41" s="7">
        <v>-5</v>
      </c>
    </row>
    <row r="42" spans="1:10" x14ac:dyDescent="0.25">
      <c r="A42" s="3" t="s">
        <v>40</v>
      </c>
      <c r="B42" s="8">
        <v>20</v>
      </c>
      <c r="C42" s="5">
        <v>2675.7999999999997</v>
      </c>
      <c r="D42" s="5">
        <v>133.79</v>
      </c>
      <c r="E42" s="6">
        <v>4.1499999999999995</v>
      </c>
      <c r="F42" s="8">
        <v>80</v>
      </c>
      <c r="G42" s="7">
        <v>2.0122343850611717E-2</v>
      </c>
      <c r="H42" s="7">
        <v>-0.61607586422903282</v>
      </c>
      <c r="I42" s="8">
        <v>20</v>
      </c>
      <c r="J42" s="7">
        <v>-5</v>
      </c>
    </row>
    <row r="43" spans="1:10" x14ac:dyDescent="0.25">
      <c r="A43" s="3" t="s">
        <v>43</v>
      </c>
      <c r="B43" s="8">
        <v>15</v>
      </c>
      <c r="C43" s="5">
        <v>1524.76</v>
      </c>
      <c r="D43" s="5">
        <v>101.65066666666667</v>
      </c>
      <c r="E43" s="6">
        <v>4.3499999999999996</v>
      </c>
      <c r="F43" s="8">
        <v>24</v>
      </c>
      <c r="G43" s="7">
        <v>-5.1980725546919915E-5</v>
      </c>
      <c r="H43" s="7">
        <v>-0.45791644506324364</v>
      </c>
      <c r="I43" s="8">
        <v>15</v>
      </c>
      <c r="J43" s="7">
        <v>5</v>
      </c>
    </row>
    <row r="44" spans="1:10" x14ac:dyDescent="0.25">
      <c r="A44" s="3" t="s">
        <v>35</v>
      </c>
      <c r="B44" s="8">
        <v>6</v>
      </c>
      <c r="C44" s="5">
        <v>195</v>
      </c>
      <c r="D44" s="5">
        <v>32.5</v>
      </c>
      <c r="E44" s="6">
        <v>4.05</v>
      </c>
      <c r="F44" s="8">
        <v>12</v>
      </c>
      <c r="G44" s="7">
        <v>0.25920185974428522</v>
      </c>
      <c r="H44" s="7">
        <v>-0.76706208596518255</v>
      </c>
      <c r="I44" s="8">
        <v>6</v>
      </c>
      <c r="J44" s="7">
        <v>-2.9593232344934766</v>
      </c>
    </row>
    <row r="45" spans="1:10" x14ac:dyDescent="0.25">
      <c r="A45" s="4">
        <v>43101</v>
      </c>
      <c r="B45" s="8">
        <v>866</v>
      </c>
      <c r="C45" s="5">
        <v>77569.62000000001</v>
      </c>
      <c r="D45" s="5">
        <v>89.572309468822183</v>
      </c>
      <c r="E45" s="6">
        <v>4.0666666666666664</v>
      </c>
      <c r="F45" s="8">
        <v>4874</v>
      </c>
      <c r="G45" s="7">
        <v>6.3383675056828875E-2</v>
      </c>
      <c r="H45" s="7">
        <v>0.29944593028048799</v>
      </c>
      <c r="I45" s="8">
        <v>866</v>
      </c>
      <c r="J45" s="7">
        <v>4.724338404360573</v>
      </c>
    </row>
    <row r="46" spans="1:10" x14ac:dyDescent="0.25">
      <c r="A46" s="3" t="s">
        <v>48</v>
      </c>
      <c r="B46" s="8">
        <v>187</v>
      </c>
      <c r="C46" s="5">
        <v>21800.35</v>
      </c>
      <c r="D46" s="5">
        <v>116.57941176470588</v>
      </c>
      <c r="E46" s="6">
        <v>3.9499999999999997</v>
      </c>
      <c r="F46" s="8">
        <v>912</v>
      </c>
      <c r="G46" s="7">
        <v>0.17953057744306891</v>
      </c>
      <c r="H46" s="7">
        <v>1.1860075856023022</v>
      </c>
      <c r="I46" s="8">
        <v>187</v>
      </c>
      <c r="J46" s="7">
        <v>5</v>
      </c>
    </row>
    <row r="47" spans="1:10" x14ac:dyDescent="0.25">
      <c r="A47" s="3" t="s">
        <v>38</v>
      </c>
      <c r="B47" s="8">
        <v>99</v>
      </c>
      <c r="C47" s="5">
        <v>11908.68</v>
      </c>
      <c r="D47" s="5">
        <v>120.28969696969698</v>
      </c>
      <c r="E47" s="6">
        <v>4.1222222222222227</v>
      </c>
      <c r="F47" s="8">
        <v>882</v>
      </c>
      <c r="G47" s="7">
        <v>0.17967094603016354</v>
      </c>
      <c r="H47" s="7">
        <v>-0.19199585683221854</v>
      </c>
      <c r="I47" s="8">
        <v>99</v>
      </c>
      <c r="J47" s="7">
        <v>-1.0685971275510837</v>
      </c>
    </row>
    <row r="48" spans="1:10" x14ac:dyDescent="0.25">
      <c r="A48" s="3" t="s">
        <v>33</v>
      </c>
      <c r="B48" s="8">
        <v>158</v>
      </c>
      <c r="C48" s="5">
        <v>11751.24</v>
      </c>
      <c r="D48" s="5">
        <v>74.374936708860758</v>
      </c>
      <c r="E48" s="6">
        <v>4.1599999999999993</v>
      </c>
      <c r="F48" s="8">
        <v>1370</v>
      </c>
      <c r="G48" s="7">
        <v>5.5479971438031739E-2</v>
      </c>
      <c r="H48" s="7">
        <v>0.15684328540277326</v>
      </c>
      <c r="I48" s="8">
        <v>158</v>
      </c>
      <c r="J48" s="7">
        <v>2.8270253451366516</v>
      </c>
    </row>
    <row r="49" spans="1:10" x14ac:dyDescent="0.25">
      <c r="A49" s="3" t="s">
        <v>68</v>
      </c>
      <c r="B49" s="8">
        <v>152</v>
      </c>
      <c r="C49" s="5">
        <v>10489.5</v>
      </c>
      <c r="D49" s="5">
        <v>69.00986842105263</v>
      </c>
      <c r="E49" s="6">
        <v>4</v>
      </c>
      <c r="F49" s="8">
        <v>500</v>
      </c>
      <c r="G49" s="7">
        <v>-1.3111901195106369E-2</v>
      </c>
      <c r="H49" s="7">
        <v>1.590218404525326</v>
      </c>
      <c r="I49" s="8">
        <v>152</v>
      </c>
      <c r="J49" s="7">
        <v>-5</v>
      </c>
    </row>
    <row r="50" spans="1:10" x14ac:dyDescent="0.25">
      <c r="A50" s="3" t="s">
        <v>55</v>
      </c>
      <c r="B50" s="8">
        <v>76</v>
      </c>
      <c r="C50" s="5">
        <v>10047.4</v>
      </c>
      <c r="D50" s="5">
        <v>132.20263157894738</v>
      </c>
      <c r="E50" s="6">
        <v>3.9714285714285711</v>
      </c>
      <c r="F50" s="8">
        <v>413</v>
      </c>
      <c r="G50" s="7">
        <v>-7.5946900342847672E-3</v>
      </c>
      <c r="H50" s="7">
        <v>-0.26597869646799782</v>
      </c>
      <c r="I50" s="8">
        <v>76</v>
      </c>
      <c r="J50" s="7">
        <v>5</v>
      </c>
    </row>
    <row r="51" spans="1:10" x14ac:dyDescent="0.25">
      <c r="A51" s="3" t="s">
        <v>40</v>
      </c>
      <c r="B51" s="8">
        <v>102</v>
      </c>
      <c r="C51" s="5">
        <v>5832.74</v>
      </c>
      <c r="D51" s="5">
        <v>57.183725490196075</v>
      </c>
      <c r="E51" s="6">
        <v>4.2</v>
      </c>
      <c r="F51" s="8">
        <v>510</v>
      </c>
      <c r="G51" s="7">
        <v>0</v>
      </c>
      <c r="H51" s="7">
        <v>0.48920235784162203</v>
      </c>
      <c r="I51" s="8">
        <v>102</v>
      </c>
      <c r="J51" s="7">
        <v>0</v>
      </c>
    </row>
    <row r="52" spans="1:10" x14ac:dyDescent="0.25">
      <c r="A52" s="3" t="s">
        <v>31</v>
      </c>
      <c r="B52" s="8">
        <v>66</v>
      </c>
      <c r="C52" s="5">
        <v>4191.21</v>
      </c>
      <c r="D52" s="5">
        <v>63.503181818181815</v>
      </c>
      <c r="E52" s="6">
        <v>3.8499999999999996</v>
      </c>
      <c r="F52" s="8">
        <v>248</v>
      </c>
      <c r="G52" s="7">
        <v>-8.4219204859891702E-3</v>
      </c>
      <c r="H52" s="7">
        <v>0.37584344857353374</v>
      </c>
      <c r="I52" s="8">
        <v>66</v>
      </c>
      <c r="J52" s="7">
        <v>-5</v>
      </c>
    </row>
    <row r="53" spans="1:10" x14ac:dyDescent="0.25">
      <c r="A53" s="3" t="s">
        <v>43</v>
      </c>
      <c r="B53" s="8">
        <v>16</v>
      </c>
      <c r="C53" s="5">
        <v>1277.3</v>
      </c>
      <c r="D53" s="5">
        <v>79.831249999999997</v>
      </c>
      <c r="E53" s="6">
        <v>4.3499999999999996</v>
      </c>
      <c r="F53" s="8">
        <v>30</v>
      </c>
      <c r="G53" s="7">
        <v>-5.7146122635592163E-4</v>
      </c>
      <c r="H53" s="7">
        <v>-0.42281789953978094</v>
      </c>
      <c r="I53" s="8">
        <v>16</v>
      </c>
      <c r="J53" s="7">
        <v>5</v>
      </c>
    </row>
    <row r="54" spans="1:10" x14ac:dyDescent="0.25">
      <c r="A54" s="3" t="s">
        <v>35</v>
      </c>
      <c r="B54" s="8">
        <v>10</v>
      </c>
      <c r="C54" s="5">
        <v>271.2</v>
      </c>
      <c r="D54" s="5">
        <v>27.119999999999997</v>
      </c>
      <c r="E54" s="6">
        <v>3.9</v>
      </c>
      <c r="F54" s="8">
        <v>9</v>
      </c>
      <c r="G54" s="7">
        <v>0.10693877551020398</v>
      </c>
      <c r="H54" s="7">
        <v>-0.35001940240589835</v>
      </c>
      <c r="I54" s="8">
        <v>10</v>
      </c>
      <c r="J54" s="7">
        <v>-3.2730821980704268</v>
      </c>
    </row>
    <row r="55" spans="1:10" x14ac:dyDescent="0.25">
      <c r="A55" s="4">
        <v>43104</v>
      </c>
      <c r="B55" s="8">
        <v>760</v>
      </c>
      <c r="C55" s="5">
        <v>75977.179999999978</v>
      </c>
      <c r="D55" s="5">
        <v>99.969973684210501</v>
      </c>
      <c r="E55" s="6">
        <v>4.072916666666667</v>
      </c>
      <c r="F55" s="8">
        <v>4653</v>
      </c>
      <c r="G55" s="7">
        <v>-1.9583145475208629E-2</v>
      </c>
      <c r="H55" s="7">
        <v>0.12988680061988703</v>
      </c>
      <c r="I55" s="8">
        <v>760</v>
      </c>
      <c r="J55" s="7">
        <v>-5</v>
      </c>
    </row>
    <row r="56" spans="1:10" x14ac:dyDescent="0.25">
      <c r="A56" s="3" t="s">
        <v>55</v>
      </c>
      <c r="B56" s="8">
        <v>186</v>
      </c>
      <c r="C56" s="5">
        <v>23207.49</v>
      </c>
      <c r="D56" s="5">
        <v>124.77145161290323</v>
      </c>
      <c r="E56" s="6">
        <v>3.9999999999999996</v>
      </c>
      <c r="F56" s="8">
        <v>1424</v>
      </c>
      <c r="G56" s="7">
        <v>-5.9207902900170237E-2</v>
      </c>
      <c r="H56" s="7">
        <v>0.55914302543491867</v>
      </c>
      <c r="I56" s="8">
        <v>186</v>
      </c>
      <c r="J56" s="7">
        <v>-5</v>
      </c>
    </row>
    <row r="57" spans="1:10" x14ac:dyDescent="0.25">
      <c r="A57" s="3" t="s">
        <v>38</v>
      </c>
      <c r="B57" s="8">
        <v>121</v>
      </c>
      <c r="C57" s="5">
        <v>15261.48</v>
      </c>
      <c r="D57" s="5">
        <v>126.12793388429752</v>
      </c>
      <c r="E57" s="6">
        <v>4.1500000000000004</v>
      </c>
      <c r="F57" s="8">
        <v>944</v>
      </c>
      <c r="G57" s="7">
        <v>1.3193526523100015E-2</v>
      </c>
      <c r="H57" s="7">
        <v>7.9502492398764155E-2</v>
      </c>
      <c r="I57" s="8">
        <v>121</v>
      </c>
      <c r="J57" s="7">
        <v>5</v>
      </c>
    </row>
    <row r="58" spans="1:10" x14ac:dyDescent="0.25">
      <c r="A58" s="3" t="s">
        <v>48</v>
      </c>
      <c r="B58" s="8">
        <v>119</v>
      </c>
      <c r="C58" s="5">
        <v>14403.4</v>
      </c>
      <c r="D58" s="5">
        <v>121.03697478991596</v>
      </c>
      <c r="E58" s="6">
        <v>3.9</v>
      </c>
      <c r="F58" s="8">
        <v>535</v>
      </c>
      <c r="G58" s="7">
        <v>-1.7921299968778431E-2</v>
      </c>
      <c r="H58" s="7">
        <v>0.64330355827733166</v>
      </c>
      <c r="I58" s="8">
        <v>119</v>
      </c>
      <c r="J58" s="7">
        <v>-5</v>
      </c>
    </row>
    <row r="59" spans="1:10" x14ac:dyDescent="0.25">
      <c r="A59" s="3" t="s">
        <v>33</v>
      </c>
      <c r="B59" s="8">
        <v>141</v>
      </c>
      <c r="C59" s="5">
        <v>9696.2999999999993</v>
      </c>
      <c r="D59" s="5">
        <v>68.768085106382969</v>
      </c>
      <c r="E59" s="6">
        <v>4.1599999999999993</v>
      </c>
      <c r="F59" s="8">
        <v>1110</v>
      </c>
      <c r="G59" s="7">
        <v>6.2319662476699163E-4</v>
      </c>
      <c r="H59" s="7">
        <v>3.084622255236727E-2</v>
      </c>
      <c r="I59" s="8">
        <v>141</v>
      </c>
      <c r="J59" s="7">
        <v>5</v>
      </c>
    </row>
    <row r="60" spans="1:10" x14ac:dyDescent="0.25">
      <c r="A60" s="3" t="s">
        <v>68</v>
      </c>
      <c r="B60" s="8">
        <v>117</v>
      </c>
      <c r="C60" s="5">
        <v>7835.4</v>
      </c>
      <c r="D60" s="5">
        <v>66.969230769230762</v>
      </c>
      <c r="E60" s="6">
        <v>4</v>
      </c>
      <c r="F60" s="8">
        <v>368</v>
      </c>
      <c r="G60" s="7">
        <v>-2.6736379300100832E-3</v>
      </c>
      <c r="H60" s="7">
        <v>0.98355476140772036</v>
      </c>
      <c r="I60" s="8">
        <v>117</v>
      </c>
      <c r="J60" s="7">
        <v>-5</v>
      </c>
    </row>
    <row r="61" spans="1:10" x14ac:dyDescent="0.25">
      <c r="A61" s="3" t="s">
        <v>31</v>
      </c>
      <c r="B61" s="8">
        <v>35</v>
      </c>
      <c r="C61" s="5">
        <v>2180.44</v>
      </c>
      <c r="D61" s="5">
        <v>62.298285714285718</v>
      </c>
      <c r="E61" s="6">
        <v>3.8499999999999996</v>
      </c>
      <c r="F61" s="8">
        <v>136</v>
      </c>
      <c r="G61" s="7">
        <v>-1.2367196838128936E-2</v>
      </c>
      <c r="H61" s="7">
        <v>-0.3222258074171836</v>
      </c>
      <c r="I61" s="8">
        <v>35</v>
      </c>
      <c r="J61" s="7">
        <v>5</v>
      </c>
    </row>
    <row r="62" spans="1:10" x14ac:dyDescent="0.25">
      <c r="A62" s="3" t="s">
        <v>40</v>
      </c>
      <c r="B62" s="8">
        <v>18</v>
      </c>
      <c r="C62" s="5">
        <v>1898.29</v>
      </c>
      <c r="D62" s="5">
        <v>105.46055555555556</v>
      </c>
      <c r="E62" s="6">
        <v>4.2</v>
      </c>
      <c r="F62" s="8">
        <v>90</v>
      </c>
      <c r="G62" s="7">
        <v>-5.068438959180397E-2</v>
      </c>
      <c r="H62" s="7">
        <v>-0.73696245874361677</v>
      </c>
      <c r="I62" s="8">
        <v>18</v>
      </c>
      <c r="J62" s="7">
        <v>5</v>
      </c>
    </row>
    <row r="63" spans="1:10" x14ac:dyDescent="0.25">
      <c r="A63" s="3" t="s">
        <v>43</v>
      </c>
      <c r="B63" s="8">
        <v>10</v>
      </c>
      <c r="C63" s="5">
        <v>1043.78</v>
      </c>
      <c r="D63" s="5">
        <v>104.378</v>
      </c>
      <c r="E63" s="6">
        <v>4.3499999999999996</v>
      </c>
      <c r="F63" s="8">
        <v>20</v>
      </c>
      <c r="G63" s="7">
        <v>-1.337772757000977E-3</v>
      </c>
      <c r="H63" s="7">
        <v>-0.6372022399977153</v>
      </c>
      <c r="I63" s="8">
        <v>10</v>
      </c>
      <c r="J63" s="7">
        <v>5</v>
      </c>
    </row>
    <row r="64" spans="1:10" x14ac:dyDescent="0.25">
      <c r="A64" s="3" t="s">
        <v>35</v>
      </c>
      <c r="B64" s="8">
        <v>13</v>
      </c>
      <c r="C64" s="5">
        <v>450.6</v>
      </c>
      <c r="D64" s="5">
        <v>34.661538461538463</v>
      </c>
      <c r="E64" s="6">
        <v>4.05</v>
      </c>
      <c r="F64" s="8">
        <v>26</v>
      </c>
      <c r="G64" s="7">
        <v>6.1528355594482248E-2</v>
      </c>
      <c r="H64" s="7">
        <v>-0.48886018134730891</v>
      </c>
      <c r="I64" s="8">
        <v>13</v>
      </c>
      <c r="J64" s="7">
        <v>-5</v>
      </c>
    </row>
    <row r="65" spans="1:10" x14ac:dyDescent="0.25">
      <c r="A65" s="4">
        <v>42747</v>
      </c>
      <c r="B65" s="8">
        <v>678</v>
      </c>
      <c r="C65" s="5">
        <v>65311.360000000008</v>
      </c>
      <c r="D65" s="5">
        <v>96.329439528023613</v>
      </c>
      <c r="E65" s="6">
        <v>4.0704545454545444</v>
      </c>
      <c r="F65" s="8">
        <v>3874</v>
      </c>
      <c r="G65" s="7">
        <v>1.4344963337652806E-2</v>
      </c>
      <c r="H65" s="7">
        <v>0.11947561296448729</v>
      </c>
      <c r="I65" s="8">
        <v>678</v>
      </c>
      <c r="J65" s="7">
        <v>5</v>
      </c>
    </row>
    <row r="66" spans="1:10" x14ac:dyDescent="0.25">
      <c r="A66" s="3" t="s">
        <v>33</v>
      </c>
      <c r="B66" s="8">
        <v>245</v>
      </c>
      <c r="C66" s="5">
        <v>17512.64</v>
      </c>
      <c r="D66" s="5">
        <v>71.480163265306118</v>
      </c>
      <c r="E66" s="6">
        <v>4.1599999999999993</v>
      </c>
      <c r="F66" s="8">
        <v>1840</v>
      </c>
      <c r="G66" s="7">
        <v>1.7390845309362003E-2</v>
      </c>
      <c r="H66" s="7">
        <v>0.80273470442224426</v>
      </c>
      <c r="I66" s="8">
        <v>245</v>
      </c>
      <c r="J66" s="7">
        <v>5</v>
      </c>
    </row>
    <row r="67" spans="1:10" x14ac:dyDescent="0.25">
      <c r="A67" s="3" t="s">
        <v>55</v>
      </c>
      <c r="B67" s="8">
        <v>73</v>
      </c>
      <c r="C67" s="5">
        <v>14415.8</v>
      </c>
      <c r="D67" s="5">
        <v>197.47671232876712</v>
      </c>
      <c r="E67" s="6">
        <v>3.9857142857142853</v>
      </c>
      <c r="F67" s="8">
        <v>511</v>
      </c>
      <c r="G67" s="7">
        <v>5.4084889468836717E-2</v>
      </c>
      <c r="H67" s="7">
        <v>-0.30284248226344862</v>
      </c>
      <c r="I67" s="8">
        <v>73</v>
      </c>
      <c r="J67" s="7">
        <v>-5</v>
      </c>
    </row>
    <row r="68" spans="1:10" x14ac:dyDescent="0.25">
      <c r="A68" s="3" t="s">
        <v>38</v>
      </c>
      <c r="B68" s="8">
        <v>116</v>
      </c>
      <c r="C68" s="5">
        <v>11524.73</v>
      </c>
      <c r="D68" s="5">
        <v>99.351120689655176</v>
      </c>
      <c r="E68" s="6">
        <v>4.1571428571428566</v>
      </c>
      <c r="F68" s="8">
        <v>784</v>
      </c>
      <c r="G68" s="7">
        <v>2.9693844215242564E-2</v>
      </c>
      <c r="H68" s="7">
        <v>0.20035165977241709</v>
      </c>
      <c r="I68" s="8">
        <v>116</v>
      </c>
      <c r="J68" s="7">
        <v>5</v>
      </c>
    </row>
    <row r="69" spans="1:10" x14ac:dyDescent="0.25">
      <c r="A69" s="3" t="s">
        <v>40</v>
      </c>
      <c r="B69" s="8">
        <v>38</v>
      </c>
      <c r="C69" s="5">
        <v>5832.6200000000008</v>
      </c>
      <c r="D69" s="5">
        <v>153.49</v>
      </c>
      <c r="E69" s="6">
        <v>4.1499999999999995</v>
      </c>
      <c r="F69" s="8">
        <v>152</v>
      </c>
      <c r="G69" s="7">
        <v>1.9759962060872938E-2</v>
      </c>
      <c r="H69" s="7">
        <v>-0.27021171853831105</v>
      </c>
      <c r="I69" s="8">
        <v>38</v>
      </c>
      <c r="J69" s="7">
        <v>-5</v>
      </c>
    </row>
    <row r="70" spans="1:10" x14ac:dyDescent="0.25">
      <c r="A70" s="3" t="s">
        <v>48</v>
      </c>
      <c r="B70" s="8">
        <v>40</v>
      </c>
      <c r="C70" s="5">
        <v>5377.0700000000006</v>
      </c>
      <c r="D70" s="5">
        <v>134.42675000000003</v>
      </c>
      <c r="E70" s="6">
        <v>3.88</v>
      </c>
      <c r="F70" s="8">
        <v>175</v>
      </c>
      <c r="G70" s="7">
        <v>-7.5487049676806819E-2</v>
      </c>
      <c r="H70" s="7">
        <v>-0.44089740030369495</v>
      </c>
      <c r="I70" s="8">
        <v>40</v>
      </c>
      <c r="J70" s="7">
        <v>5</v>
      </c>
    </row>
    <row r="71" spans="1:10" x14ac:dyDescent="0.25">
      <c r="A71" s="3" t="s">
        <v>68</v>
      </c>
      <c r="B71" s="8">
        <v>54</v>
      </c>
      <c r="C71" s="5">
        <v>3978.3</v>
      </c>
      <c r="D71" s="5">
        <v>73.672222222222231</v>
      </c>
      <c r="E71" s="6">
        <v>4.0999999999999996</v>
      </c>
      <c r="F71" s="8">
        <v>120</v>
      </c>
      <c r="G71" s="7">
        <v>1.9003927244114364E-2</v>
      </c>
      <c r="H71" s="7">
        <v>0.23329709675219859</v>
      </c>
      <c r="I71" s="8">
        <v>54</v>
      </c>
      <c r="J71" s="7">
        <v>5</v>
      </c>
    </row>
    <row r="72" spans="1:10" x14ac:dyDescent="0.25">
      <c r="A72" s="3" t="s">
        <v>31</v>
      </c>
      <c r="B72" s="8">
        <v>43</v>
      </c>
      <c r="C72" s="5">
        <v>3077.9400000000005</v>
      </c>
      <c r="D72" s="5">
        <v>71.580000000000013</v>
      </c>
      <c r="E72" s="6">
        <v>3.8499999999999996</v>
      </c>
      <c r="F72" s="8">
        <v>164</v>
      </c>
      <c r="G72" s="7">
        <v>-1.4691465564546588E-3</v>
      </c>
      <c r="H72" s="7">
        <v>-9.9862290177307189E-2</v>
      </c>
      <c r="I72" s="8">
        <v>43</v>
      </c>
      <c r="J72" s="7">
        <v>5</v>
      </c>
    </row>
    <row r="73" spans="1:10" x14ac:dyDescent="0.25">
      <c r="A73" s="3" t="s">
        <v>43</v>
      </c>
      <c r="B73" s="8">
        <v>36</v>
      </c>
      <c r="C73" s="5">
        <v>2783.76</v>
      </c>
      <c r="D73" s="5">
        <v>77.326666666666668</v>
      </c>
      <c r="E73" s="6">
        <v>4.3499999999999996</v>
      </c>
      <c r="F73" s="8">
        <v>68</v>
      </c>
      <c r="G73" s="7">
        <v>-2.856489945154419E-4</v>
      </c>
      <c r="H73" s="7">
        <v>0.30390625097884938</v>
      </c>
      <c r="I73" s="8">
        <v>36</v>
      </c>
      <c r="J73" s="7">
        <v>-5</v>
      </c>
    </row>
    <row r="74" spans="1:10" x14ac:dyDescent="0.25">
      <c r="A74" s="3" t="s">
        <v>35</v>
      </c>
      <c r="B74" s="8">
        <v>33</v>
      </c>
      <c r="C74" s="5">
        <v>808.5</v>
      </c>
      <c r="D74" s="5">
        <v>24.5</v>
      </c>
      <c r="E74" s="6">
        <v>4.05</v>
      </c>
      <c r="F74" s="8">
        <v>60</v>
      </c>
      <c r="G74" s="7">
        <v>0</v>
      </c>
      <c r="H74" s="7">
        <v>0.28861898606058783</v>
      </c>
      <c r="I74" s="8">
        <v>33</v>
      </c>
      <c r="J74" s="7">
        <v>0</v>
      </c>
    </row>
    <row r="75" spans="1:10" x14ac:dyDescent="0.25">
      <c r="A75" s="4">
        <v>43106</v>
      </c>
      <c r="B75" s="8">
        <v>474</v>
      </c>
      <c r="C75" s="5">
        <v>50438.939999999995</v>
      </c>
      <c r="D75" s="5">
        <v>106.4112658227848</v>
      </c>
      <c r="E75" s="6">
        <v>4.0619047619047608</v>
      </c>
      <c r="F75" s="8">
        <v>3075</v>
      </c>
      <c r="G75" s="7">
        <v>4.0153030744960574E-4</v>
      </c>
      <c r="H75" s="7">
        <v>-0.21050531434872294</v>
      </c>
      <c r="I75" s="8">
        <v>474</v>
      </c>
      <c r="J75" s="7">
        <v>-5</v>
      </c>
    </row>
    <row r="76" spans="1:10" x14ac:dyDescent="0.25">
      <c r="A76" s="3" t="s">
        <v>38</v>
      </c>
      <c r="B76" s="8">
        <v>136</v>
      </c>
      <c r="C76" s="5">
        <v>18609.189999999999</v>
      </c>
      <c r="D76" s="5">
        <v>136.83227941176469</v>
      </c>
      <c r="E76" s="6">
        <v>4.1300000000000008</v>
      </c>
      <c r="F76" s="8">
        <v>1310</v>
      </c>
      <c r="G76" s="7">
        <v>1.2918683192490009E-2</v>
      </c>
      <c r="H76" s="7">
        <v>-2.4217097291598995E-2</v>
      </c>
      <c r="I76" s="8">
        <v>136</v>
      </c>
      <c r="J76" s="7">
        <v>-1.8745793925558194</v>
      </c>
    </row>
    <row r="77" spans="1:10" x14ac:dyDescent="0.25">
      <c r="A77" s="3" t="s">
        <v>55</v>
      </c>
      <c r="B77" s="8">
        <v>99</v>
      </c>
      <c r="C77" s="5">
        <v>10707.7</v>
      </c>
      <c r="D77" s="5">
        <v>108.15858585858587</v>
      </c>
      <c r="E77" s="6">
        <v>3.9857142857142853</v>
      </c>
      <c r="F77" s="8">
        <v>651</v>
      </c>
      <c r="G77" s="7">
        <v>3.9478120091490453E-2</v>
      </c>
      <c r="H77" s="7">
        <v>-6.0661281226018833E-2</v>
      </c>
      <c r="I77" s="8">
        <v>99</v>
      </c>
      <c r="J77" s="7">
        <v>-1.5365797835721775</v>
      </c>
    </row>
    <row r="78" spans="1:10" x14ac:dyDescent="0.25">
      <c r="A78" s="3" t="s">
        <v>48</v>
      </c>
      <c r="B78" s="8">
        <v>71</v>
      </c>
      <c r="C78" s="5">
        <v>8484.76</v>
      </c>
      <c r="D78" s="5">
        <v>119.50366197183099</v>
      </c>
      <c r="E78" s="6">
        <v>3.9</v>
      </c>
      <c r="F78" s="8">
        <v>330</v>
      </c>
      <c r="G78" s="7">
        <v>-4.6349217227095424E-2</v>
      </c>
      <c r="H78" s="7">
        <v>-2.4235488929724047E-2</v>
      </c>
      <c r="I78" s="8">
        <v>71</v>
      </c>
      <c r="J78" s="7">
        <v>0.52288885076480107</v>
      </c>
    </row>
    <row r="79" spans="1:10" x14ac:dyDescent="0.25">
      <c r="A79" s="3" t="s">
        <v>33</v>
      </c>
      <c r="B79" s="8">
        <v>77</v>
      </c>
      <c r="C79" s="5">
        <v>5644.74</v>
      </c>
      <c r="D79" s="5">
        <v>73.30831168831169</v>
      </c>
      <c r="E79" s="6">
        <v>4.1666666666666661</v>
      </c>
      <c r="F79" s="8">
        <v>522</v>
      </c>
      <c r="G79" s="7">
        <v>-9.6059934113993786E-2</v>
      </c>
      <c r="H79" s="7">
        <v>-0.40035864570580948</v>
      </c>
      <c r="I79" s="8">
        <v>77</v>
      </c>
      <c r="J79" s="7">
        <v>4.1678005445090784</v>
      </c>
    </row>
    <row r="80" spans="1:10" x14ac:dyDescent="0.25">
      <c r="A80" s="3" t="s">
        <v>31</v>
      </c>
      <c r="B80" s="8">
        <v>46</v>
      </c>
      <c r="C80" s="5">
        <v>3417.85</v>
      </c>
      <c r="D80" s="5">
        <v>74.301086956521743</v>
      </c>
      <c r="E80" s="6">
        <v>3.8499999999999996</v>
      </c>
      <c r="F80" s="8">
        <v>172</v>
      </c>
      <c r="G80" s="7">
        <v>-2.7290884136997623E-2</v>
      </c>
      <c r="H80" s="7">
        <v>-0.12886810236862253</v>
      </c>
      <c r="I80" s="8">
        <v>46</v>
      </c>
      <c r="J80" s="7">
        <v>4.7220200606809586</v>
      </c>
    </row>
    <row r="81" spans="1:10" x14ac:dyDescent="0.25">
      <c r="A81" s="3" t="s">
        <v>68</v>
      </c>
      <c r="B81" s="8">
        <v>27</v>
      </c>
      <c r="C81" s="5">
        <v>1703.8</v>
      </c>
      <c r="D81" s="5">
        <v>63.103703703703701</v>
      </c>
      <c r="E81" s="6">
        <v>4</v>
      </c>
      <c r="F81" s="8">
        <v>72</v>
      </c>
      <c r="G81" s="7">
        <v>8.3402835696413671E-2</v>
      </c>
      <c r="H81" s="7">
        <v>-0.54404050611323251</v>
      </c>
      <c r="I81" s="8">
        <v>27</v>
      </c>
      <c r="J81" s="7">
        <v>-5</v>
      </c>
    </row>
    <row r="82" spans="1:10" x14ac:dyDescent="0.25">
      <c r="A82" s="3" t="s">
        <v>43</v>
      </c>
      <c r="B82" s="8">
        <v>14</v>
      </c>
      <c r="C82" s="5">
        <v>1668.5</v>
      </c>
      <c r="D82" s="5">
        <v>119.17857142857143</v>
      </c>
      <c r="E82" s="6">
        <v>4.4000000000000004</v>
      </c>
      <c r="F82" s="8">
        <v>14</v>
      </c>
      <c r="G82" s="7">
        <v>-6.0169188609554706E-3</v>
      </c>
      <c r="H82" s="7">
        <v>-0.12847294756632555</v>
      </c>
      <c r="I82" s="8">
        <v>14</v>
      </c>
      <c r="J82" s="7">
        <v>5</v>
      </c>
    </row>
    <row r="83" spans="1:10" x14ac:dyDescent="0.25">
      <c r="A83" s="3" t="s">
        <v>40</v>
      </c>
      <c r="B83" s="8">
        <v>2</v>
      </c>
      <c r="C83" s="5">
        <v>130</v>
      </c>
      <c r="D83" s="5">
        <v>65</v>
      </c>
      <c r="E83" s="6">
        <v>4.4000000000000004</v>
      </c>
      <c r="F83" s="8">
        <v>2</v>
      </c>
      <c r="G83" s="7">
        <v>0.8571428571428571</v>
      </c>
      <c r="H83" s="7">
        <v>-0.87865931268561737</v>
      </c>
      <c r="I83" s="8">
        <v>2</v>
      </c>
      <c r="J83" s="7">
        <v>-1.0251025314665536</v>
      </c>
    </row>
    <row r="84" spans="1:10" x14ac:dyDescent="0.25">
      <c r="A84" s="3" t="s">
        <v>35</v>
      </c>
      <c r="B84" s="8">
        <v>2</v>
      </c>
      <c r="C84" s="5">
        <v>72.400000000000006</v>
      </c>
      <c r="D84" s="5">
        <v>36.200000000000003</v>
      </c>
      <c r="E84" s="6">
        <v>4.2</v>
      </c>
      <c r="F84" s="8">
        <v>2</v>
      </c>
      <c r="G84" s="7">
        <v>1.9628252369063543E-16</v>
      </c>
      <c r="H84" s="7">
        <v>-0.79746835443037978</v>
      </c>
      <c r="I84" s="8">
        <v>2</v>
      </c>
      <c r="J84" s="7">
        <v>-5</v>
      </c>
    </row>
    <row r="85" spans="1:10" x14ac:dyDescent="0.25">
      <c r="A85" s="4">
        <v>42745</v>
      </c>
      <c r="B85" s="8">
        <v>550</v>
      </c>
      <c r="C85" s="5">
        <v>48569.38</v>
      </c>
      <c r="D85" s="5">
        <v>88.307963636363638</v>
      </c>
      <c r="E85" s="6">
        <v>4.0651162790697661</v>
      </c>
      <c r="F85" s="8">
        <v>2949</v>
      </c>
      <c r="G85" s="7">
        <v>8.4812899067547659E-2</v>
      </c>
      <c r="H85" s="7">
        <v>-6.1796381384180393E-2</v>
      </c>
      <c r="I85" s="8">
        <v>550</v>
      </c>
      <c r="J85" s="7">
        <v>-0.72862008094975994</v>
      </c>
    </row>
    <row r="86" spans="1:10" x14ac:dyDescent="0.25">
      <c r="A86" s="3" t="s">
        <v>33</v>
      </c>
      <c r="B86" s="8">
        <v>198</v>
      </c>
      <c r="C86" s="5">
        <v>14116.890000000003</v>
      </c>
      <c r="D86" s="5">
        <v>71.297424242424256</v>
      </c>
      <c r="E86" s="6">
        <v>4.1599999999999993</v>
      </c>
      <c r="F86" s="8">
        <v>1460</v>
      </c>
      <c r="G86" s="7">
        <v>-2.5718465386248959E-2</v>
      </c>
      <c r="H86" s="7">
        <v>0.48621739226245941</v>
      </c>
      <c r="I86" s="8">
        <v>198</v>
      </c>
      <c r="J86" s="7">
        <v>-5</v>
      </c>
    </row>
    <row r="87" spans="1:10" x14ac:dyDescent="0.25">
      <c r="A87" s="3" t="s">
        <v>55</v>
      </c>
      <c r="B87" s="8">
        <v>44</v>
      </c>
      <c r="C87" s="5">
        <v>9361.0400000000009</v>
      </c>
      <c r="D87" s="5">
        <v>212.75090909090912</v>
      </c>
      <c r="E87" s="6">
        <v>3.9714285714285711</v>
      </c>
      <c r="F87" s="8">
        <v>301</v>
      </c>
      <c r="G87" s="7">
        <v>3.150524790764607E-2</v>
      </c>
      <c r="H87" s="7">
        <v>-0.58188945119165791</v>
      </c>
      <c r="I87" s="8">
        <v>44</v>
      </c>
      <c r="J87" s="7">
        <v>-5</v>
      </c>
    </row>
    <row r="88" spans="1:10" x14ac:dyDescent="0.25">
      <c r="A88" s="3" t="s">
        <v>38</v>
      </c>
      <c r="B88" s="8">
        <v>86</v>
      </c>
      <c r="C88" s="5">
        <v>8362.17</v>
      </c>
      <c r="D88" s="5">
        <v>97.234534883720926</v>
      </c>
      <c r="E88" s="6">
        <v>4.1571428571428566</v>
      </c>
      <c r="F88" s="8">
        <v>567</v>
      </c>
      <c r="G88" s="7">
        <v>3.2051969212957977E-2</v>
      </c>
      <c r="H88" s="7">
        <v>-0.10350861400558825</v>
      </c>
      <c r="I88" s="8">
        <v>86</v>
      </c>
      <c r="J88" s="7">
        <v>-3.2293995204432484</v>
      </c>
    </row>
    <row r="89" spans="1:10" x14ac:dyDescent="0.25">
      <c r="A89" s="3" t="s">
        <v>48</v>
      </c>
      <c r="B89" s="8">
        <v>38</v>
      </c>
      <c r="C89" s="5">
        <v>5398.83</v>
      </c>
      <c r="D89" s="5">
        <v>142.07447368421052</v>
      </c>
      <c r="E89" s="6">
        <v>3.9749999999999996</v>
      </c>
      <c r="F89" s="8">
        <v>124</v>
      </c>
      <c r="G89" s="7">
        <v>0.43318075412722895</v>
      </c>
      <c r="H89" s="7">
        <v>-0.33747744156030751</v>
      </c>
      <c r="I89" s="8">
        <v>38</v>
      </c>
      <c r="J89" s="7">
        <v>-0.77906841046125386</v>
      </c>
    </row>
    <row r="90" spans="1:10" x14ac:dyDescent="0.25">
      <c r="A90" s="3" t="s">
        <v>40</v>
      </c>
      <c r="B90" s="8">
        <v>33</v>
      </c>
      <c r="C90" s="5">
        <v>4063.67</v>
      </c>
      <c r="D90" s="5">
        <v>123.14151515151515</v>
      </c>
      <c r="E90" s="6">
        <v>4.1499999999999995</v>
      </c>
      <c r="F90" s="8">
        <v>132</v>
      </c>
      <c r="G90" s="7">
        <v>3.3331673664935078E-2</v>
      </c>
      <c r="H90" s="7">
        <v>-0.36562690135560805</v>
      </c>
      <c r="I90" s="8">
        <v>33</v>
      </c>
      <c r="J90" s="7">
        <v>-5</v>
      </c>
    </row>
    <row r="91" spans="1:10" x14ac:dyDescent="0.25">
      <c r="A91" s="3" t="s">
        <v>31</v>
      </c>
      <c r="B91" s="8">
        <v>54</v>
      </c>
      <c r="C91" s="5">
        <v>3519.5499999999997</v>
      </c>
      <c r="D91" s="5">
        <v>65.17685185185185</v>
      </c>
      <c r="E91" s="6">
        <v>3.8499999999999996</v>
      </c>
      <c r="F91" s="8">
        <v>200</v>
      </c>
      <c r="G91" s="7">
        <v>1.0666175929333821</v>
      </c>
      <c r="H91" s="7">
        <v>0.15934918138420387</v>
      </c>
      <c r="I91" s="8">
        <v>54</v>
      </c>
      <c r="J91" s="7">
        <v>0.14939673078705384</v>
      </c>
    </row>
    <row r="92" spans="1:10" x14ac:dyDescent="0.25">
      <c r="A92" s="3" t="s">
        <v>68</v>
      </c>
      <c r="B92" s="8">
        <v>38</v>
      </c>
      <c r="C92" s="5">
        <v>1642.2</v>
      </c>
      <c r="D92" s="5">
        <v>43.215789473684211</v>
      </c>
      <c r="E92" s="6">
        <v>3.8666666666666667</v>
      </c>
      <c r="F92" s="8">
        <v>51</v>
      </c>
      <c r="G92" s="7">
        <v>0</v>
      </c>
      <c r="H92" s="7">
        <v>-0.13289555304916201</v>
      </c>
      <c r="I92" s="8">
        <v>38</v>
      </c>
      <c r="J92" s="7">
        <v>0</v>
      </c>
    </row>
    <row r="93" spans="1:10" x14ac:dyDescent="0.25">
      <c r="A93" s="3" t="s">
        <v>43</v>
      </c>
      <c r="B93" s="8">
        <v>19</v>
      </c>
      <c r="C93" s="5">
        <v>1253.83</v>
      </c>
      <c r="D93" s="5">
        <v>65.991052631578938</v>
      </c>
      <c r="E93" s="6">
        <v>4.3499999999999996</v>
      </c>
      <c r="F93" s="8">
        <v>38</v>
      </c>
      <c r="G93" s="7">
        <v>0</v>
      </c>
      <c r="H93" s="7">
        <v>-0.31010580692462897</v>
      </c>
      <c r="I93" s="8">
        <v>19</v>
      </c>
      <c r="J93" s="7">
        <v>0</v>
      </c>
    </row>
    <row r="94" spans="1:10" x14ac:dyDescent="0.25">
      <c r="A94" s="3" t="s">
        <v>35</v>
      </c>
      <c r="B94" s="8">
        <v>40</v>
      </c>
      <c r="C94" s="5">
        <v>851.2</v>
      </c>
      <c r="D94" s="5">
        <v>21.28</v>
      </c>
      <c r="E94" s="6">
        <v>4.05</v>
      </c>
      <c r="F94" s="8">
        <v>76</v>
      </c>
      <c r="G94" s="7">
        <v>6.0540799234266807E-2</v>
      </c>
      <c r="H94" s="7">
        <v>0.63138889922942332</v>
      </c>
      <c r="I94" s="8">
        <v>40</v>
      </c>
      <c r="J94" s="7">
        <v>5</v>
      </c>
    </row>
    <row r="95" spans="1:10" x14ac:dyDescent="0.25">
      <c r="A95" s="4">
        <v>43107</v>
      </c>
      <c r="B95" s="8">
        <v>427</v>
      </c>
      <c r="C95" s="5">
        <v>46053.15</v>
      </c>
      <c r="D95" s="5">
        <v>107.85281030444965</v>
      </c>
      <c r="E95" s="6">
        <v>4.0724999999999998</v>
      </c>
      <c r="F95" s="8">
        <v>2769</v>
      </c>
      <c r="G95" s="7">
        <v>-2.4850874329476792E-2</v>
      </c>
      <c r="H95" s="7">
        <v>-0.24301319851116157</v>
      </c>
      <c r="I95" s="8">
        <v>427</v>
      </c>
      <c r="J95" s="7">
        <v>5</v>
      </c>
    </row>
    <row r="96" spans="1:10" x14ac:dyDescent="0.25">
      <c r="A96" s="3" t="s">
        <v>55</v>
      </c>
      <c r="B96" s="8">
        <v>125</v>
      </c>
      <c r="C96" s="5">
        <v>16118.17</v>
      </c>
      <c r="D96" s="5">
        <v>128.94535999999999</v>
      </c>
      <c r="E96" s="6">
        <v>3.9857142857142853</v>
      </c>
      <c r="F96" s="8">
        <v>854</v>
      </c>
      <c r="G96" s="7">
        <v>-5.7363129202663794E-2</v>
      </c>
      <c r="H96" s="7">
        <v>0.18676614018897988</v>
      </c>
      <c r="I96" s="8">
        <v>125</v>
      </c>
      <c r="J96" s="7">
        <v>-3.2558569029443212</v>
      </c>
    </row>
    <row r="97" spans="1:10" x14ac:dyDescent="0.25">
      <c r="A97" s="3" t="s">
        <v>38</v>
      </c>
      <c r="B97" s="8">
        <v>122</v>
      </c>
      <c r="C97" s="5">
        <v>15947.010000000002</v>
      </c>
      <c r="D97" s="5">
        <v>130.7131967213115</v>
      </c>
      <c r="E97" s="6">
        <v>4.166666666666667</v>
      </c>
      <c r="F97" s="8">
        <v>1017</v>
      </c>
      <c r="G97" s="7">
        <v>1.3595662167318276E-3</v>
      </c>
      <c r="H97" s="7">
        <v>-1.2175409161322334E-2</v>
      </c>
      <c r="I97" s="8">
        <v>122</v>
      </c>
      <c r="J97" s="7">
        <v>-5</v>
      </c>
    </row>
    <row r="98" spans="1:10" x14ac:dyDescent="0.25">
      <c r="A98" s="3" t="s">
        <v>48</v>
      </c>
      <c r="B98" s="8">
        <v>50</v>
      </c>
      <c r="C98" s="5">
        <v>5010.09</v>
      </c>
      <c r="D98" s="5">
        <v>100.20180000000001</v>
      </c>
      <c r="E98" s="6">
        <v>3.9</v>
      </c>
      <c r="F98" s="8">
        <v>215</v>
      </c>
      <c r="G98" s="7">
        <v>-2.5091014487662086E-2</v>
      </c>
      <c r="H98" s="7">
        <v>-0.31265612677406346</v>
      </c>
      <c r="I98" s="8">
        <v>50</v>
      </c>
      <c r="J98" s="7">
        <v>5</v>
      </c>
    </row>
    <row r="99" spans="1:10" x14ac:dyDescent="0.25">
      <c r="A99" s="3" t="s">
        <v>33</v>
      </c>
      <c r="B99" s="8">
        <v>61</v>
      </c>
      <c r="C99" s="5">
        <v>4357.8399999999992</v>
      </c>
      <c r="D99" s="5">
        <v>71.439999999999984</v>
      </c>
      <c r="E99" s="6">
        <v>4.1666666666666661</v>
      </c>
      <c r="F99" s="8">
        <v>486</v>
      </c>
      <c r="G99" s="7">
        <v>-1.083082834918964E-2</v>
      </c>
      <c r="H99" s="7">
        <v>-0.52412248218681246</v>
      </c>
      <c r="I99" s="8">
        <v>61</v>
      </c>
      <c r="J99" s="7">
        <v>5</v>
      </c>
    </row>
    <row r="100" spans="1:10" x14ac:dyDescent="0.25">
      <c r="A100" s="3" t="s">
        <v>31</v>
      </c>
      <c r="B100" s="8">
        <v>29</v>
      </c>
      <c r="C100" s="5">
        <v>1961.12</v>
      </c>
      <c r="D100" s="5">
        <v>67.624827586206891</v>
      </c>
      <c r="E100" s="6">
        <v>3.8499999999999996</v>
      </c>
      <c r="F100" s="8">
        <v>104</v>
      </c>
      <c r="G100" s="7">
        <v>-7.0046301792709717E-3</v>
      </c>
      <c r="H100" s="7">
        <v>-0.44755186132752167</v>
      </c>
      <c r="I100" s="8">
        <v>29</v>
      </c>
      <c r="J100" s="7">
        <v>5</v>
      </c>
    </row>
    <row r="101" spans="1:10" x14ac:dyDescent="0.25">
      <c r="A101" s="3" t="s">
        <v>68</v>
      </c>
      <c r="B101" s="8">
        <v>26</v>
      </c>
      <c r="C101" s="5">
        <v>1629.3</v>
      </c>
      <c r="D101" s="5">
        <v>62.66538461538461</v>
      </c>
      <c r="E101" s="6">
        <v>4.0666666666666664</v>
      </c>
      <c r="F101" s="8">
        <v>66</v>
      </c>
      <c r="G101" s="7">
        <v>-9.5036858159633891E-2</v>
      </c>
      <c r="H101" s="7">
        <v>-0.41835127548460488</v>
      </c>
      <c r="I101" s="8">
        <v>26</v>
      </c>
      <c r="J101" s="7">
        <v>4.401989749933632</v>
      </c>
    </row>
    <row r="102" spans="1:10" x14ac:dyDescent="0.25">
      <c r="A102" s="3" t="s">
        <v>43</v>
      </c>
      <c r="B102" s="8">
        <v>13</v>
      </c>
      <c r="C102" s="5">
        <v>993.42000000000007</v>
      </c>
      <c r="D102" s="5">
        <v>76.416923076923084</v>
      </c>
      <c r="E102" s="6">
        <v>4.3499999999999996</v>
      </c>
      <c r="F102" s="8">
        <v>26</v>
      </c>
      <c r="G102" s="7">
        <v>-2.8289618132378478E-3</v>
      </c>
      <c r="H102" s="7">
        <v>-0.52626447288238876</v>
      </c>
      <c r="I102" s="8">
        <v>13</v>
      </c>
      <c r="J102" s="7">
        <v>5</v>
      </c>
    </row>
    <row r="103" spans="1:10" x14ac:dyDescent="0.25">
      <c r="A103" s="3" t="s">
        <v>35</v>
      </c>
      <c r="B103" s="8">
        <v>1</v>
      </c>
      <c r="C103" s="5">
        <v>36.200000000000003</v>
      </c>
      <c r="D103" s="5">
        <v>36.200000000000003</v>
      </c>
      <c r="E103" s="6">
        <v>4.2</v>
      </c>
      <c r="F103" s="8">
        <v>1</v>
      </c>
      <c r="G103" s="7">
        <v>0</v>
      </c>
      <c r="H103" s="7">
        <v>-0.89672544080604533</v>
      </c>
      <c r="I103" s="8">
        <v>1</v>
      </c>
      <c r="J103" s="7">
        <v>0</v>
      </c>
    </row>
    <row r="104" spans="1:10" x14ac:dyDescent="0.25">
      <c r="A104" s="4">
        <v>42743</v>
      </c>
      <c r="B104" s="8">
        <v>495</v>
      </c>
      <c r="C104" s="5">
        <v>49550.41</v>
      </c>
      <c r="D104" s="5">
        <v>100.10183838383838</v>
      </c>
      <c r="E104" s="6">
        <v>4.0891891891891881</v>
      </c>
      <c r="F104" s="8">
        <v>2279</v>
      </c>
      <c r="G104" s="7">
        <v>0.36680272255035756</v>
      </c>
      <c r="H104" s="7">
        <v>-7.9774989426676917E-3</v>
      </c>
      <c r="I104" s="8">
        <v>495</v>
      </c>
      <c r="J104" s="7">
        <v>-2.1748745176155222E-2</v>
      </c>
    </row>
    <row r="105" spans="1:10" x14ac:dyDescent="0.25">
      <c r="A105" s="3" t="s">
        <v>31</v>
      </c>
      <c r="B105" s="8">
        <v>93</v>
      </c>
      <c r="C105" s="5">
        <v>13885.1</v>
      </c>
      <c r="D105" s="5">
        <v>149.30215053763442</v>
      </c>
      <c r="E105" s="6">
        <v>4.1000000000000005</v>
      </c>
      <c r="F105" s="8">
        <v>270</v>
      </c>
      <c r="G105" s="7">
        <v>-1.6079710226695691E-2</v>
      </c>
      <c r="H105" s="7">
        <v>1.8906265612098108</v>
      </c>
      <c r="I105" s="8">
        <v>93</v>
      </c>
      <c r="J105" s="7">
        <v>-5</v>
      </c>
    </row>
    <row r="106" spans="1:10" x14ac:dyDescent="0.25">
      <c r="A106" s="3" t="s">
        <v>33</v>
      </c>
      <c r="B106" s="8">
        <v>144</v>
      </c>
      <c r="C106" s="5">
        <v>9009.5</v>
      </c>
      <c r="D106" s="5">
        <v>62.565972222222221</v>
      </c>
      <c r="E106" s="6">
        <v>4.1625000000000005</v>
      </c>
      <c r="F106" s="8">
        <v>904</v>
      </c>
      <c r="G106" s="7">
        <v>1.507992359505396E-2</v>
      </c>
      <c r="H106" s="7">
        <v>0.3997362811049846</v>
      </c>
      <c r="I106" s="8">
        <v>144</v>
      </c>
      <c r="J106" s="7">
        <v>5</v>
      </c>
    </row>
    <row r="107" spans="1:10" x14ac:dyDescent="0.25">
      <c r="A107" s="3" t="s">
        <v>55</v>
      </c>
      <c r="B107" s="8">
        <v>48</v>
      </c>
      <c r="C107" s="5">
        <v>8543.9</v>
      </c>
      <c r="D107" s="5">
        <v>177.99791666666667</v>
      </c>
      <c r="E107" s="6">
        <v>3.9499999999999997</v>
      </c>
      <c r="F107" s="8">
        <v>288</v>
      </c>
      <c r="G107" s="7">
        <v>0.90838404854799093</v>
      </c>
      <c r="H107" s="7">
        <v>-0.47009857130730781</v>
      </c>
      <c r="I107" s="8">
        <v>48</v>
      </c>
      <c r="J107" s="7">
        <v>-0.51751081721298187</v>
      </c>
    </row>
    <row r="108" spans="1:10" x14ac:dyDescent="0.25">
      <c r="A108" s="3" t="s">
        <v>38</v>
      </c>
      <c r="B108" s="8">
        <v>84</v>
      </c>
      <c r="C108" s="5">
        <v>8223.59</v>
      </c>
      <c r="D108" s="5">
        <v>97.899880952380954</v>
      </c>
      <c r="E108" s="6">
        <v>4.0999999999999996</v>
      </c>
      <c r="F108" s="8">
        <v>492</v>
      </c>
      <c r="G108" s="7">
        <v>0.79556901705854144</v>
      </c>
      <c r="H108" s="7">
        <v>3.7271761233838907E-2</v>
      </c>
      <c r="I108" s="8">
        <v>84</v>
      </c>
      <c r="J108" s="7">
        <v>4.6849186474913075E-2</v>
      </c>
    </row>
    <row r="109" spans="1:10" x14ac:dyDescent="0.25">
      <c r="A109" s="3" t="s">
        <v>40</v>
      </c>
      <c r="B109" s="8">
        <v>39</v>
      </c>
      <c r="C109" s="5">
        <v>4205.6099999999997</v>
      </c>
      <c r="D109" s="5">
        <v>107.83615384615383</v>
      </c>
      <c r="E109" s="6">
        <v>4.1499999999999995</v>
      </c>
      <c r="F109" s="8">
        <v>156</v>
      </c>
      <c r="G109" s="7">
        <v>-2.8093814521679281E-2</v>
      </c>
      <c r="H109" s="7">
        <v>-0.25340498336392531</v>
      </c>
      <c r="I109" s="8">
        <v>39</v>
      </c>
      <c r="J109" s="7">
        <v>5</v>
      </c>
    </row>
    <row r="110" spans="1:10" x14ac:dyDescent="0.25">
      <c r="A110" s="3" t="s">
        <v>48</v>
      </c>
      <c r="B110" s="8">
        <v>22</v>
      </c>
      <c r="C110" s="5">
        <v>3124.1800000000003</v>
      </c>
      <c r="D110" s="5">
        <v>142.00818181818184</v>
      </c>
      <c r="E110" s="6">
        <v>4.1333333333333329</v>
      </c>
      <c r="F110" s="8">
        <v>45</v>
      </c>
      <c r="G110" s="7">
        <v>1.1309457049927793E-2</v>
      </c>
      <c r="H110" s="7">
        <v>-0.50592024118998302</v>
      </c>
      <c r="I110" s="8">
        <v>22</v>
      </c>
      <c r="J110" s="7">
        <v>-5</v>
      </c>
    </row>
    <row r="111" spans="1:10" x14ac:dyDescent="0.25">
      <c r="A111" s="3" t="s">
        <v>68</v>
      </c>
      <c r="B111" s="8">
        <v>22</v>
      </c>
      <c r="C111" s="5">
        <v>1320.6</v>
      </c>
      <c r="D111" s="5">
        <v>60.027272727272724</v>
      </c>
      <c r="E111" s="6">
        <v>3.8666666666666667</v>
      </c>
      <c r="F111" s="8">
        <v>42</v>
      </c>
      <c r="G111" s="7">
        <v>0.33862433862433866</v>
      </c>
      <c r="H111" s="7">
        <v>-0.49878891803568565</v>
      </c>
      <c r="I111" s="8">
        <v>22</v>
      </c>
      <c r="J111" s="7">
        <v>-1.4729860235741341</v>
      </c>
    </row>
    <row r="112" spans="1:10" x14ac:dyDescent="0.25">
      <c r="A112" s="3" t="s">
        <v>35</v>
      </c>
      <c r="B112" s="8">
        <v>35</v>
      </c>
      <c r="C112" s="5">
        <v>696.5</v>
      </c>
      <c r="D112" s="5">
        <v>19.899999999999999</v>
      </c>
      <c r="E112" s="6">
        <v>4.05</v>
      </c>
      <c r="F112" s="8">
        <v>66</v>
      </c>
      <c r="G112" s="7">
        <v>1.7852832556786438E-16</v>
      </c>
      <c r="H112" s="7">
        <v>0.45364415862808144</v>
      </c>
      <c r="I112" s="8">
        <v>35</v>
      </c>
      <c r="J112" s="7">
        <v>5</v>
      </c>
    </row>
    <row r="113" spans="1:10" x14ac:dyDescent="0.25">
      <c r="A113" s="3" t="s">
        <v>43</v>
      </c>
      <c r="B113" s="8">
        <v>8</v>
      </c>
      <c r="C113" s="5">
        <v>541.43000000000006</v>
      </c>
      <c r="D113" s="5">
        <v>67.678750000000008</v>
      </c>
      <c r="E113" s="6">
        <v>4.3499999999999996</v>
      </c>
      <c r="F113" s="8">
        <v>16</v>
      </c>
      <c r="G113" s="7">
        <v>2.5004386734514825</v>
      </c>
      <c r="H113" s="7">
        <v>-0.71047121180655226</v>
      </c>
      <c r="I113" s="8">
        <v>8</v>
      </c>
      <c r="J113" s="7">
        <v>-0.28413862709372223</v>
      </c>
    </row>
    <row r="114" spans="1:10" x14ac:dyDescent="0.25">
      <c r="A114" s="4">
        <v>42744</v>
      </c>
      <c r="B114" s="8">
        <v>450</v>
      </c>
      <c r="C114" s="5">
        <v>44826.6</v>
      </c>
      <c r="D114" s="5">
        <v>99.614666666666665</v>
      </c>
      <c r="E114" s="6">
        <v>4.1083333333333334</v>
      </c>
      <c r="F114" s="8">
        <v>2275</v>
      </c>
      <c r="G114" s="7">
        <v>-2.1535399164272995E-2</v>
      </c>
      <c r="H114" s="7">
        <v>-8.3624206819695915E-2</v>
      </c>
      <c r="I114" s="8">
        <v>450</v>
      </c>
      <c r="J114" s="7">
        <v>3.8831045657341523</v>
      </c>
    </row>
    <row r="115" spans="1:10" x14ac:dyDescent="0.25">
      <c r="A115" s="3" t="s">
        <v>38</v>
      </c>
      <c r="B115" s="8">
        <v>92</v>
      </c>
      <c r="C115" s="5">
        <v>10304.560000000001</v>
      </c>
      <c r="D115" s="5">
        <v>112.00608695652176</v>
      </c>
      <c r="E115" s="6">
        <v>4.0999999999999996</v>
      </c>
      <c r="F115" s="8">
        <v>534</v>
      </c>
      <c r="G115" s="7">
        <v>7.6628117614959931E-4</v>
      </c>
      <c r="H115" s="7">
        <v>0.13238212461319024</v>
      </c>
      <c r="I115" s="8">
        <v>92</v>
      </c>
      <c r="J115" s="7">
        <v>5</v>
      </c>
    </row>
    <row r="116" spans="1:10" x14ac:dyDescent="0.25">
      <c r="A116" s="3" t="s">
        <v>55</v>
      </c>
      <c r="B116" s="8">
        <v>59</v>
      </c>
      <c r="C116" s="5">
        <v>10187.5</v>
      </c>
      <c r="D116" s="5">
        <v>172.66949152542372</v>
      </c>
      <c r="E116" s="6">
        <v>3.96</v>
      </c>
      <c r="F116" s="8">
        <v>270</v>
      </c>
      <c r="G116" s="7">
        <v>-3.971486987493502E-2</v>
      </c>
      <c r="H116" s="7">
        <v>-0.22342613091788657</v>
      </c>
      <c r="I116" s="8">
        <v>59</v>
      </c>
      <c r="J116" s="7">
        <v>5</v>
      </c>
    </row>
    <row r="117" spans="1:10" x14ac:dyDescent="0.25">
      <c r="A117" s="3" t="s">
        <v>33</v>
      </c>
      <c r="B117" s="8">
        <v>151</v>
      </c>
      <c r="C117" s="5">
        <v>10130.08</v>
      </c>
      <c r="D117" s="5">
        <v>67.086622516556289</v>
      </c>
      <c r="E117" s="6">
        <v>4.1599999999999993</v>
      </c>
      <c r="F117" s="8">
        <v>1150</v>
      </c>
      <c r="G117" s="7">
        <v>-3.3435254523329724E-2</v>
      </c>
      <c r="H117" s="7">
        <v>0.13373156016665461</v>
      </c>
      <c r="I117" s="8">
        <v>151</v>
      </c>
      <c r="J117" s="7">
        <v>-3.9997171271222807</v>
      </c>
    </row>
    <row r="118" spans="1:10" x14ac:dyDescent="0.25">
      <c r="A118" s="3" t="s">
        <v>31</v>
      </c>
      <c r="B118" s="8">
        <v>57</v>
      </c>
      <c r="C118" s="5">
        <v>7381.9599999999991</v>
      </c>
      <c r="D118" s="5">
        <v>129.50807017543858</v>
      </c>
      <c r="E118" s="6">
        <v>4.1000000000000005</v>
      </c>
      <c r="F118" s="8">
        <v>162</v>
      </c>
      <c r="G118" s="7">
        <v>-0.10829997935685134</v>
      </c>
      <c r="H118" s="7">
        <v>0.75676323898757203</v>
      </c>
      <c r="I118" s="8">
        <v>57</v>
      </c>
      <c r="J118" s="7">
        <v>-5</v>
      </c>
    </row>
    <row r="119" spans="1:10" x14ac:dyDescent="0.25">
      <c r="A119" s="3" t="s">
        <v>48</v>
      </c>
      <c r="B119" s="8">
        <v>27</v>
      </c>
      <c r="C119" s="5">
        <v>3732.36</v>
      </c>
      <c r="D119" s="5">
        <v>138.23555555555555</v>
      </c>
      <c r="E119" s="6">
        <v>4.1333333333333329</v>
      </c>
      <c r="F119" s="8">
        <v>45</v>
      </c>
      <c r="G119" s="7">
        <v>-2.714237968464582E-2</v>
      </c>
      <c r="H119" s="7">
        <v>-0.39284008291250233</v>
      </c>
      <c r="I119" s="8">
        <v>27</v>
      </c>
      <c r="J119" s="7">
        <v>5</v>
      </c>
    </row>
    <row r="120" spans="1:10" x14ac:dyDescent="0.25">
      <c r="A120" s="3" t="s">
        <v>43</v>
      </c>
      <c r="B120" s="8">
        <v>18</v>
      </c>
      <c r="C120" s="5">
        <v>1111.33</v>
      </c>
      <c r="D120" s="5">
        <v>61.740555555555552</v>
      </c>
      <c r="E120" s="6">
        <v>4.3499999999999996</v>
      </c>
      <c r="F120" s="8">
        <v>36</v>
      </c>
      <c r="G120" s="7">
        <v>0</v>
      </c>
      <c r="H120" s="7">
        <v>-0.34625313525995827</v>
      </c>
      <c r="I120" s="8">
        <v>18</v>
      </c>
      <c r="J120" s="7">
        <v>0</v>
      </c>
    </row>
    <row r="121" spans="1:10" x14ac:dyDescent="0.25">
      <c r="A121" s="3" t="s">
        <v>40</v>
      </c>
      <c r="B121" s="8">
        <v>10</v>
      </c>
      <c r="C121" s="5">
        <v>929.41000000000008</v>
      </c>
      <c r="D121" s="5">
        <v>92.941000000000003</v>
      </c>
      <c r="E121" s="6">
        <v>4.3</v>
      </c>
      <c r="F121" s="8">
        <v>30</v>
      </c>
      <c r="G121" s="7">
        <v>0.14751475147514767</v>
      </c>
      <c r="H121" s="7">
        <v>-0.76338417635824496</v>
      </c>
      <c r="I121" s="8">
        <v>10</v>
      </c>
      <c r="J121" s="7">
        <v>-5</v>
      </c>
    </row>
    <row r="122" spans="1:10" x14ac:dyDescent="0.25">
      <c r="A122" s="3" t="s">
        <v>68</v>
      </c>
      <c r="B122" s="8">
        <v>18</v>
      </c>
      <c r="C122" s="5">
        <v>691.2</v>
      </c>
      <c r="D122" s="5">
        <v>38.400000000000006</v>
      </c>
      <c r="E122" s="6">
        <v>3.75</v>
      </c>
      <c r="F122" s="8">
        <v>14</v>
      </c>
      <c r="G122" s="7">
        <v>0</v>
      </c>
      <c r="H122" s="7">
        <v>-0.38780703220647555</v>
      </c>
      <c r="I122" s="8">
        <v>18</v>
      </c>
      <c r="J122" s="7">
        <v>0</v>
      </c>
    </row>
    <row r="123" spans="1:10" x14ac:dyDescent="0.25">
      <c r="A123" s="3" t="s">
        <v>35</v>
      </c>
      <c r="B123" s="8">
        <v>18</v>
      </c>
      <c r="C123" s="5">
        <v>358.2</v>
      </c>
      <c r="D123" s="5">
        <v>19.899999999999999</v>
      </c>
      <c r="E123" s="6">
        <v>4.05</v>
      </c>
      <c r="F123" s="8">
        <v>34</v>
      </c>
      <c r="G123" s="7">
        <v>-1.7852832556786435E-16</v>
      </c>
      <c r="H123" s="7">
        <v>-0.26659203951392335</v>
      </c>
      <c r="I123" s="8">
        <v>18</v>
      </c>
      <c r="J123" s="7">
        <v>5</v>
      </c>
    </row>
    <row r="124" spans="1:10" x14ac:dyDescent="0.25">
      <c r="A124" s="4">
        <v>43108</v>
      </c>
      <c r="B124" s="8">
        <v>333</v>
      </c>
      <c r="C124" s="5">
        <v>37579.670000000006</v>
      </c>
      <c r="D124" s="5">
        <v>112.85186186186188</v>
      </c>
      <c r="E124" s="6">
        <v>4.0921052631578947</v>
      </c>
      <c r="F124" s="8">
        <v>2155</v>
      </c>
      <c r="G124" s="7">
        <v>2.6093778128275262E-3</v>
      </c>
      <c r="H124" s="7">
        <v>-0.386518387762598</v>
      </c>
      <c r="I124" s="8">
        <v>333</v>
      </c>
      <c r="J124" s="7">
        <v>-5</v>
      </c>
    </row>
    <row r="125" spans="1:10" x14ac:dyDescent="0.25">
      <c r="A125" s="3" t="s">
        <v>38</v>
      </c>
      <c r="B125" s="8">
        <v>133</v>
      </c>
      <c r="C125" s="5">
        <v>20078.649999999998</v>
      </c>
      <c r="D125" s="5">
        <v>150.9672932330827</v>
      </c>
      <c r="E125" s="6">
        <v>4.166666666666667</v>
      </c>
      <c r="F125" s="8">
        <v>1143</v>
      </c>
      <c r="G125" s="7">
        <v>1.8017842988906799E-3</v>
      </c>
      <c r="H125" s="7">
        <v>7.6057049406037386E-2</v>
      </c>
      <c r="I125" s="8">
        <v>133</v>
      </c>
      <c r="J125" s="7">
        <v>5</v>
      </c>
    </row>
    <row r="126" spans="1:10" x14ac:dyDescent="0.25">
      <c r="A126" s="3" t="s">
        <v>55</v>
      </c>
      <c r="B126" s="8">
        <v>61</v>
      </c>
      <c r="C126" s="5">
        <v>6778.4599999999991</v>
      </c>
      <c r="D126" s="5">
        <v>111.1222950819672</v>
      </c>
      <c r="E126" s="6">
        <v>4.0333333333333332</v>
      </c>
      <c r="F126" s="8">
        <v>366</v>
      </c>
      <c r="G126" s="7">
        <v>-2.1487031911173807E-2</v>
      </c>
      <c r="H126" s="7">
        <v>-0.3282814713931162</v>
      </c>
      <c r="I126" s="8">
        <v>61</v>
      </c>
      <c r="J126" s="7">
        <v>5</v>
      </c>
    </row>
    <row r="127" spans="1:10" x14ac:dyDescent="0.25">
      <c r="A127" s="3" t="s">
        <v>33</v>
      </c>
      <c r="B127" s="8">
        <v>54</v>
      </c>
      <c r="C127" s="5">
        <v>3709.08</v>
      </c>
      <c r="D127" s="5">
        <v>68.686666666666667</v>
      </c>
      <c r="E127" s="6">
        <v>4.1666666666666661</v>
      </c>
      <c r="F127" s="8">
        <v>414</v>
      </c>
      <c r="G127" s="7">
        <v>-2.6107342951277885E-3</v>
      </c>
      <c r="H127" s="7">
        <v>-0.57778903548718763</v>
      </c>
      <c r="I127" s="8">
        <v>54</v>
      </c>
      <c r="J127" s="7">
        <v>5</v>
      </c>
    </row>
    <row r="128" spans="1:10" x14ac:dyDescent="0.25">
      <c r="A128" s="3" t="s">
        <v>43</v>
      </c>
      <c r="B128" s="8">
        <v>21</v>
      </c>
      <c r="C128" s="5">
        <v>2187.36</v>
      </c>
      <c r="D128" s="5">
        <v>104.16000000000001</v>
      </c>
      <c r="E128" s="6">
        <v>4.3499999999999996</v>
      </c>
      <c r="F128" s="8">
        <v>38</v>
      </c>
      <c r="G128" s="7">
        <v>-1.0635589821914825E-2</v>
      </c>
      <c r="H128" s="7">
        <v>-0.23280331234125462</v>
      </c>
      <c r="I128" s="8">
        <v>21</v>
      </c>
      <c r="J128" s="7">
        <v>5</v>
      </c>
    </row>
    <row r="129" spans="1:10" x14ac:dyDescent="0.25">
      <c r="A129" s="3" t="s">
        <v>48</v>
      </c>
      <c r="B129" s="8">
        <v>18</v>
      </c>
      <c r="C129" s="5">
        <v>2185.1000000000004</v>
      </c>
      <c r="D129" s="5">
        <v>121.39444444444446</v>
      </c>
      <c r="E129" s="6">
        <v>4</v>
      </c>
      <c r="F129" s="8">
        <v>72</v>
      </c>
      <c r="G129" s="7">
        <v>3.2001286915023457E-2</v>
      </c>
      <c r="H129" s="7">
        <v>-0.6978491446726528</v>
      </c>
      <c r="I129" s="8">
        <v>18</v>
      </c>
      <c r="J129" s="7">
        <v>-5</v>
      </c>
    </row>
    <row r="130" spans="1:10" x14ac:dyDescent="0.25">
      <c r="A130" s="3" t="s">
        <v>68</v>
      </c>
      <c r="B130" s="8">
        <v>29</v>
      </c>
      <c r="C130" s="5">
        <v>1659.2</v>
      </c>
      <c r="D130" s="5">
        <v>57.213793103448275</v>
      </c>
      <c r="E130" s="6">
        <v>4</v>
      </c>
      <c r="F130" s="8">
        <v>76</v>
      </c>
      <c r="G130" s="7">
        <v>7.8138262284932411E-2</v>
      </c>
      <c r="H130" s="7">
        <v>-0.5093912135193942</v>
      </c>
      <c r="I130" s="8">
        <v>29</v>
      </c>
      <c r="J130" s="7">
        <v>-5</v>
      </c>
    </row>
    <row r="131" spans="1:10" x14ac:dyDescent="0.25">
      <c r="A131" s="3" t="s">
        <v>31</v>
      </c>
      <c r="B131" s="8">
        <v>16</v>
      </c>
      <c r="C131" s="5">
        <v>916.82</v>
      </c>
      <c r="D131" s="5">
        <v>57.301250000000003</v>
      </c>
      <c r="E131" s="6">
        <v>3.7333333333333329</v>
      </c>
      <c r="F131" s="8">
        <v>45</v>
      </c>
      <c r="G131" s="7">
        <v>-2.4037040685646712E-2</v>
      </c>
      <c r="H131" s="7">
        <v>-0.5790205425896493</v>
      </c>
      <c r="I131" s="8">
        <v>16</v>
      </c>
      <c r="J131" s="7">
        <v>5</v>
      </c>
    </row>
    <row r="132" spans="1:10" x14ac:dyDescent="0.25">
      <c r="A132" s="3" t="s">
        <v>40</v>
      </c>
      <c r="B132" s="8">
        <v>1</v>
      </c>
      <c r="C132" s="5">
        <v>65</v>
      </c>
      <c r="D132" s="5">
        <v>65</v>
      </c>
      <c r="E132" s="6">
        <v>4.4000000000000004</v>
      </c>
      <c r="F132" s="8">
        <v>1</v>
      </c>
      <c r="G132" s="7">
        <v>0</v>
      </c>
      <c r="H132" s="7">
        <v>-0.93914334181509751</v>
      </c>
      <c r="I132" s="8">
        <v>1</v>
      </c>
      <c r="J132" s="7">
        <v>0</v>
      </c>
    </row>
    <row r="133" spans="1:10" x14ac:dyDescent="0.25">
      <c r="A133" s="4">
        <v>42742</v>
      </c>
      <c r="B133" s="8">
        <v>403</v>
      </c>
      <c r="C133" s="5">
        <v>41049.89</v>
      </c>
      <c r="D133" s="5">
        <v>101.86076923076924</v>
      </c>
      <c r="E133" s="6">
        <v>4.1060606060606064</v>
      </c>
      <c r="F133" s="8">
        <v>1686</v>
      </c>
      <c r="G133" s="7">
        <v>0.20989553473524025</v>
      </c>
      <c r="H133" s="7">
        <v>-7.4309988095732873E-2</v>
      </c>
      <c r="I133" s="8">
        <v>403</v>
      </c>
      <c r="J133" s="7">
        <v>-0.35403320127541832</v>
      </c>
    </row>
    <row r="134" spans="1:10" x14ac:dyDescent="0.25">
      <c r="A134" s="3" t="s">
        <v>31</v>
      </c>
      <c r="B134" s="8">
        <v>125</v>
      </c>
      <c r="C134" s="5">
        <v>17764.7</v>
      </c>
      <c r="D134" s="5">
        <v>142.11760000000001</v>
      </c>
      <c r="E134" s="6">
        <v>4.1000000000000005</v>
      </c>
      <c r="F134" s="8">
        <v>369</v>
      </c>
      <c r="G134" s="7">
        <v>-1.1599246049006813E-2</v>
      </c>
      <c r="H134" s="7">
        <v>3.0755780439587577</v>
      </c>
      <c r="I134" s="8">
        <v>125</v>
      </c>
      <c r="J134" s="7">
        <v>-5</v>
      </c>
    </row>
    <row r="135" spans="1:10" x14ac:dyDescent="0.25">
      <c r="A135" s="3" t="s">
        <v>33</v>
      </c>
      <c r="B135" s="8">
        <v>97</v>
      </c>
      <c r="C135" s="5">
        <v>6281.5999999999995</v>
      </c>
      <c r="D135" s="5">
        <v>64.758762886597935</v>
      </c>
      <c r="E135" s="6">
        <v>4.155555555555555</v>
      </c>
      <c r="F135" s="8">
        <v>666</v>
      </c>
      <c r="G135" s="7">
        <v>0.11305135170094419</v>
      </c>
      <c r="H135" s="7">
        <v>-0.17215041259136815</v>
      </c>
      <c r="I135" s="8">
        <v>97</v>
      </c>
      <c r="J135" s="7">
        <v>-1.5227629745353179</v>
      </c>
    </row>
    <row r="136" spans="1:10" x14ac:dyDescent="0.25">
      <c r="A136" s="3" t="s">
        <v>55</v>
      </c>
      <c r="B136" s="8">
        <v>30</v>
      </c>
      <c r="C136" s="5">
        <v>5326.08</v>
      </c>
      <c r="D136" s="5">
        <v>177.536</v>
      </c>
      <c r="E136" s="6">
        <v>4</v>
      </c>
      <c r="F136" s="8">
        <v>145</v>
      </c>
      <c r="G136" s="7">
        <v>0.44928093932700164</v>
      </c>
      <c r="H136" s="7">
        <v>-0.60679208845452826</v>
      </c>
      <c r="I136" s="8">
        <v>30</v>
      </c>
      <c r="J136" s="7">
        <v>-1.3505849799981939</v>
      </c>
    </row>
    <row r="137" spans="1:10" x14ac:dyDescent="0.25">
      <c r="A137" s="3" t="s">
        <v>40</v>
      </c>
      <c r="B137" s="8">
        <v>42</v>
      </c>
      <c r="C137" s="5">
        <v>4714.58</v>
      </c>
      <c r="D137" s="5">
        <v>112.25190476190475</v>
      </c>
      <c r="E137" s="6">
        <v>4.1499999999999995</v>
      </c>
      <c r="F137" s="8">
        <v>168</v>
      </c>
      <c r="G137" s="7">
        <v>0.40909779676940328</v>
      </c>
      <c r="H137" s="7">
        <v>-0.19757357574671175</v>
      </c>
      <c r="I137" s="8">
        <v>42</v>
      </c>
      <c r="J137" s="7">
        <v>-0.48294949840093693</v>
      </c>
    </row>
    <row r="138" spans="1:10" x14ac:dyDescent="0.25">
      <c r="A138" s="3" t="s">
        <v>38</v>
      </c>
      <c r="B138" s="8">
        <v>62</v>
      </c>
      <c r="C138" s="5">
        <v>3348.29</v>
      </c>
      <c r="D138" s="5">
        <v>54.004677419354842</v>
      </c>
      <c r="E138" s="6">
        <v>4.1499999999999995</v>
      </c>
      <c r="F138" s="8">
        <v>244</v>
      </c>
      <c r="G138" s="7">
        <v>8.8135898210392884E-4</v>
      </c>
      <c r="H138" s="7">
        <v>0.24833445069817309</v>
      </c>
      <c r="I138" s="8">
        <v>62</v>
      </c>
      <c r="J138" s="7">
        <v>5</v>
      </c>
    </row>
    <row r="139" spans="1:10" x14ac:dyDescent="0.25">
      <c r="A139" s="3" t="s">
        <v>48</v>
      </c>
      <c r="B139" s="8">
        <v>20</v>
      </c>
      <c r="C139" s="5">
        <v>2523.71</v>
      </c>
      <c r="D139" s="5">
        <v>126.1855</v>
      </c>
      <c r="E139" s="6">
        <v>4.1333333333333329</v>
      </c>
      <c r="F139" s="8">
        <v>51</v>
      </c>
      <c r="G139" s="7">
        <v>-3.8022966060941576E-2</v>
      </c>
      <c r="H139" s="7">
        <v>-0.55133262323659749</v>
      </c>
      <c r="I139" s="8">
        <v>20</v>
      </c>
      <c r="J139" s="7">
        <v>5</v>
      </c>
    </row>
    <row r="140" spans="1:10" x14ac:dyDescent="0.25">
      <c r="A140" s="3" t="s">
        <v>68</v>
      </c>
      <c r="B140" s="8">
        <v>6</v>
      </c>
      <c r="C140" s="5">
        <v>413.4</v>
      </c>
      <c r="D140" s="5">
        <v>68.899999999999991</v>
      </c>
      <c r="E140" s="6">
        <v>3.9</v>
      </c>
      <c r="F140" s="8">
        <v>10</v>
      </c>
      <c r="G140" s="7">
        <v>0</v>
      </c>
      <c r="H140" s="7">
        <v>-0.7956056294729561</v>
      </c>
      <c r="I140" s="8">
        <v>6</v>
      </c>
      <c r="J140" s="7">
        <v>0</v>
      </c>
    </row>
    <row r="141" spans="1:10" x14ac:dyDescent="0.25">
      <c r="A141" s="3" t="s">
        <v>43</v>
      </c>
      <c r="B141" s="8">
        <v>7</v>
      </c>
      <c r="C141" s="5">
        <v>398.93</v>
      </c>
      <c r="D141" s="5">
        <v>56.99</v>
      </c>
      <c r="E141" s="6">
        <v>4.3</v>
      </c>
      <c r="F141" s="8">
        <v>7</v>
      </c>
      <c r="G141" s="7">
        <v>0</v>
      </c>
      <c r="H141" s="7">
        <v>-0.38041431261770242</v>
      </c>
      <c r="I141" s="8">
        <v>7</v>
      </c>
      <c r="J141" s="7">
        <v>0</v>
      </c>
    </row>
    <row r="142" spans="1:10" x14ac:dyDescent="0.25">
      <c r="A142" s="3" t="s">
        <v>35</v>
      </c>
      <c r="B142" s="8">
        <v>14</v>
      </c>
      <c r="C142" s="5">
        <v>278.59999999999997</v>
      </c>
      <c r="D142" s="5">
        <v>19.899999999999999</v>
      </c>
      <c r="E142" s="6">
        <v>4.05</v>
      </c>
      <c r="F142" s="8">
        <v>26</v>
      </c>
      <c r="G142" s="7">
        <v>0</v>
      </c>
      <c r="H142" s="7">
        <v>-0.41610959459802066</v>
      </c>
      <c r="I142" s="8">
        <v>14</v>
      </c>
      <c r="J142" s="7">
        <v>0</v>
      </c>
    </row>
    <row r="143" spans="1:10" x14ac:dyDescent="0.25">
      <c r="A143" s="4">
        <v>42741</v>
      </c>
      <c r="B143" s="8">
        <v>233</v>
      </c>
      <c r="C143" s="5">
        <v>23245.239999999998</v>
      </c>
      <c r="D143" s="5">
        <v>99.764978540772518</v>
      </c>
      <c r="E143" s="6">
        <v>4.136000000000001</v>
      </c>
      <c r="F143" s="8">
        <v>820</v>
      </c>
      <c r="G143" s="7">
        <v>0.11628548875721503</v>
      </c>
      <c r="H143" s="7">
        <v>-0.30561155759417924</v>
      </c>
      <c r="I143" s="8">
        <v>233</v>
      </c>
      <c r="J143" s="7">
        <v>-2.6281143146953263</v>
      </c>
    </row>
    <row r="144" spans="1:10" x14ac:dyDescent="0.25">
      <c r="A144" s="3" t="s">
        <v>31</v>
      </c>
      <c r="B144" s="8">
        <v>64</v>
      </c>
      <c r="C144" s="5">
        <v>6812.75</v>
      </c>
      <c r="D144" s="5">
        <v>106.44921875</v>
      </c>
      <c r="E144" s="6">
        <v>4.1000000000000005</v>
      </c>
      <c r="F144" s="8">
        <v>183</v>
      </c>
      <c r="G144" s="7">
        <v>-1.7101325352714834E-2</v>
      </c>
      <c r="H144" s="7">
        <v>1.162601574221251</v>
      </c>
      <c r="I144" s="8">
        <v>64</v>
      </c>
      <c r="J144" s="7">
        <v>-5</v>
      </c>
    </row>
    <row r="145" spans="1:10" x14ac:dyDescent="0.25">
      <c r="A145" s="3" t="s">
        <v>40</v>
      </c>
      <c r="B145" s="8">
        <v>42</v>
      </c>
      <c r="C145" s="5">
        <v>4709.58</v>
      </c>
      <c r="D145" s="5">
        <v>112.13285714285715</v>
      </c>
      <c r="E145" s="6">
        <v>4.2666666666666666</v>
      </c>
      <c r="F145" s="8">
        <v>126</v>
      </c>
      <c r="G145" s="7">
        <v>0</v>
      </c>
      <c r="H145" s="7">
        <v>2.5282407939637946E-3</v>
      </c>
      <c r="I145" s="8">
        <v>42</v>
      </c>
      <c r="J145" s="7">
        <v>0</v>
      </c>
    </row>
    <row r="146" spans="1:10" x14ac:dyDescent="0.25">
      <c r="A146" s="3" t="s">
        <v>48</v>
      </c>
      <c r="B146" s="8">
        <v>24</v>
      </c>
      <c r="C146" s="5">
        <v>3339.0899999999997</v>
      </c>
      <c r="D146" s="5">
        <v>139.12875</v>
      </c>
      <c r="E146" s="6">
        <v>4.1333333333333329</v>
      </c>
      <c r="F146" s="8">
        <v>45</v>
      </c>
      <c r="G146" s="7">
        <v>-1.0094485538663878E-2</v>
      </c>
      <c r="H146" s="7">
        <v>-0.46219453451494763</v>
      </c>
      <c r="I146" s="8">
        <v>24</v>
      </c>
      <c r="J146" s="7">
        <v>5</v>
      </c>
    </row>
    <row r="147" spans="1:10" x14ac:dyDescent="0.25">
      <c r="A147" s="3" t="s">
        <v>38</v>
      </c>
      <c r="B147" s="8">
        <v>53</v>
      </c>
      <c r="C147" s="5">
        <v>3164.29</v>
      </c>
      <c r="D147" s="5">
        <v>59.703584905660378</v>
      </c>
      <c r="E147" s="6">
        <v>4.1499999999999995</v>
      </c>
      <c r="F147" s="8">
        <v>212</v>
      </c>
      <c r="G147" s="7">
        <v>-1.1794303714207824E-2</v>
      </c>
      <c r="H147" s="7">
        <v>7.04251748003724E-2</v>
      </c>
      <c r="I147" s="8">
        <v>53</v>
      </c>
      <c r="J147" s="7">
        <v>-5</v>
      </c>
    </row>
    <row r="148" spans="1:10" x14ac:dyDescent="0.25">
      <c r="A148" s="3" t="s">
        <v>55</v>
      </c>
      <c r="B148" s="8">
        <v>17</v>
      </c>
      <c r="C148" s="5">
        <v>2600.9499999999998</v>
      </c>
      <c r="D148" s="5">
        <v>152.99705882352941</v>
      </c>
      <c r="E148" s="6">
        <v>3.9749999999999996</v>
      </c>
      <c r="F148" s="8">
        <v>68</v>
      </c>
      <c r="G148" s="7">
        <v>0.75051707083121</v>
      </c>
      <c r="H148" s="7">
        <v>-0.72391714209076929</v>
      </c>
      <c r="I148" s="8">
        <v>17</v>
      </c>
      <c r="J148" s="7">
        <v>-0.9645578631396341</v>
      </c>
    </row>
    <row r="149" spans="1:10" x14ac:dyDescent="0.25">
      <c r="A149" s="3" t="s">
        <v>33</v>
      </c>
      <c r="B149" s="8">
        <v>29</v>
      </c>
      <c r="C149" s="5">
        <v>2390.62</v>
      </c>
      <c r="D149" s="5">
        <v>82.435172413793097</v>
      </c>
      <c r="E149" s="6">
        <v>4.1571428571428575</v>
      </c>
      <c r="F149" s="8">
        <v>182</v>
      </c>
      <c r="G149" s="7">
        <v>2.152929778606932E-3</v>
      </c>
      <c r="H149" s="7">
        <v>-0.70093255440925006</v>
      </c>
      <c r="I149" s="8">
        <v>29</v>
      </c>
      <c r="J149" s="7">
        <v>-5</v>
      </c>
    </row>
    <row r="150" spans="1:10" x14ac:dyDescent="0.25">
      <c r="A150" s="3" t="s">
        <v>43</v>
      </c>
      <c r="B150" s="8">
        <v>4</v>
      </c>
      <c r="C150" s="5">
        <v>227.96</v>
      </c>
      <c r="D150" s="5">
        <v>56.99</v>
      </c>
      <c r="E150" s="6">
        <v>4.3</v>
      </c>
      <c r="F150" s="8">
        <v>4</v>
      </c>
      <c r="G150" s="7">
        <v>0</v>
      </c>
      <c r="H150" s="7">
        <v>-0.6483931947069943</v>
      </c>
      <c r="I150" s="8">
        <v>4</v>
      </c>
      <c r="J150" s="7">
        <v>0</v>
      </c>
    </row>
    <row r="151" spans="1:10" x14ac:dyDescent="0.25">
      <c r="A151" s="4">
        <v>42740</v>
      </c>
      <c r="B151" s="8">
        <v>222</v>
      </c>
      <c r="C151" s="5">
        <v>21843.33</v>
      </c>
      <c r="D151" s="5">
        <v>98.393378378378387</v>
      </c>
      <c r="E151" s="6">
        <v>4.16</v>
      </c>
      <c r="F151" s="8">
        <v>803</v>
      </c>
      <c r="G151" s="7">
        <v>0.49703054567586613</v>
      </c>
      <c r="H151" s="7">
        <v>-0.13253080212784743</v>
      </c>
      <c r="I151" s="8">
        <v>222</v>
      </c>
      <c r="J151" s="7">
        <v>-0.26664518565479911</v>
      </c>
    </row>
    <row r="152" spans="1:10" x14ac:dyDescent="0.25">
      <c r="A152" s="3" t="s">
        <v>40</v>
      </c>
      <c r="B152" s="8">
        <v>58</v>
      </c>
      <c r="C152" s="5">
        <v>6339.42</v>
      </c>
      <c r="D152" s="5">
        <v>109.3003448275862</v>
      </c>
      <c r="E152" s="6">
        <v>4.2666666666666666</v>
      </c>
      <c r="F152" s="8">
        <v>174</v>
      </c>
      <c r="G152" s="7">
        <v>1.7226844519443592E-16</v>
      </c>
      <c r="H152" s="7">
        <v>0.38717552759522395</v>
      </c>
      <c r="I152" s="8">
        <v>58</v>
      </c>
      <c r="J152" s="7">
        <v>5</v>
      </c>
    </row>
    <row r="153" spans="1:10" x14ac:dyDescent="0.25">
      <c r="A153" s="3" t="s">
        <v>31</v>
      </c>
      <c r="B153" s="8">
        <v>60</v>
      </c>
      <c r="C153" s="5">
        <v>5475.15</v>
      </c>
      <c r="D153" s="5">
        <v>91.252499999999998</v>
      </c>
      <c r="E153" s="6">
        <v>4.1000000000000005</v>
      </c>
      <c r="F153" s="8">
        <v>171</v>
      </c>
      <c r="G153" s="7">
        <v>2.9026696329254733</v>
      </c>
      <c r="H153" s="7">
        <v>1.1041809352934491</v>
      </c>
      <c r="I153" s="8">
        <v>60</v>
      </c>
      <c r="J153" s="7">
        <v>0.38040186274336485</v>
      </c>
    </row>
    <row r="154" spans="1:10" x14ac:dyDescent="0.25">
      <c r="A154" s="3" t="s">
        <v>33</v>
      </c>
      <c r="B154" s="8">
        <v>43</v>
      </c>
      <c r="C154" s="5">
        <v>3634.2400000000002</v>
      </c>
      <c r="D154" s="5">
        <v>84.517209302325583</v>
      </c>
      <c r="E154" s="6">
        <v>4.1625000000000005</v>
      </c>
      <c r="F154" s="8">
        <v>272</v>
      </c>
      <c r="G154" s="7">
        <v>0.34979663833695346</v>
      </c>
      <c r="H154" s="7">
        <v>-0.59384145034740876</v>
      </c>
      <c r="I154" s="8">
        <v>43</v>
      </c>
      <c r="J154" s="7">
        <v>-1.6976762646168453</v>
      </c>
    </row>
    <row r="155" spans="1:10" x14ac:dyDescent="0.25">
      <c r="A155" s="3" t="s">
        <v>38</v>
      </c>
      <c r="B155" s="8">
        <v>42</v>
      </c>
      <c r="C155" s="5">
        <v>3299.2200000000003</v>
      </c>
      <c r="D155" s="5">
        <v>78.55285714285715</v>
      </c>
      <c r="E155" s="6">
        <v>4.1499999999999995</v>
      </c>
      <c r="F155" s="8">
        <v>164</v>
      </c>
      <c r="G155" s="7">
        <v>0</v>
      </c>
      <c r="H155" s="7">
        <v>-0.1509649804753401</v>
      </c>
      <c r="I155" s="8">
        <v>42</v>
      </c>
      <c r="J155" s="7">
        <v>0</v>
      </c>
    </row>
    <row r="156" spans="1:10" x14ac:dyDescent="0.25">
      <c r="A156" s="3" t="s">
        <v>48</v>
      </c>
      <c r="B156" s="8">
        <v>19</v>
      </c>
      <c r="C156" s="5">
        <v>3095.2999999999997</v>
      </c>
      <c r="D156" s="5">
        <v>162.91052631578947</v>
      </c>
      <c r="E156" s="6">
        <v>4.0999999999999996</v>
      </c>
      <c r="F156" s="8">
        <v>22</v>
      </c>
      <c r="G156" s="7">
        <v>0</v>
      </c>
      <c r="H156" s="7">
        <v>-0.37195729288022333</v>
      </c>
      <c r="I156" s="8">
        <v>19</v>
      </c>
      <c r="J156" s="7">
        <v>0</v>
      </c>
    </row>
    <row r="157" spans="1:10" x14ac:dyDescent="0.25">
      <c r="A157" s="4">
        <v>42739</v>
      </c>
      <c r="B157" s="8">
        <v>121</v>
      </c>
      <c r="C157" s="5">
        <v>11524.619999999999</v>
      </c>
      <c r="D157" s="5">
        <v>95.244793388429741</v>
      </c>
      <c r="E157" s="6">
        <v>4.1399999999999997</v>
      </c>
      <c r="F157" s="8">
        <v>309</v>
      </c>
      <c r="G157" s="7">
        <v>0.18731441950998343</v>
      </c>
      <c r="H157" s="7">
        <v>-0.40329517582192226</v>
      </c>
      <c r="I157" s="8">
        <v>121</v>
      </c>
      <c r="J157" s="7">
        <v>-2.1530386014966005</v>
      </c>
    </row>
    <row r="158" spans="1:10" x14ac:dyDescent="0.25">
      <c r="A158" s="3" t="s">
        <v>40</v>
      </c>
      <c r="B158" s="8">
        <v>33</v>
      </c>
      <c r="C158" s="5">
        <v>3719.67</v>
      </c>
      <c r="D158" s="5">
        <v>112.71727272727273</v>
      </c>
      <c r="E158" s="6">
        <v>4.2666666666666666</v>
      </c>
      <c r="F158" s="8">
        <v>99</v>
      </c>
      <c r="G158" s="7">
        <v>0.43477693712496712</v>
      </c>
      <c r="H158" s="7">
        <v>-0.21242479110123749</v>
      </c>
      <c r="I158" s="8">
        <v>33</v>
      </c>
      <c r="J158" s="7">
        <v>-0.48858339291391767</v>
      </c>
    </row>
    <row r="159" spans="1:10" x14ac:dyDescent="0.25">
      <c r="A159" s="3" t="s">
        <v>31</v>
      </c>
      <c r="B159" s="8">
        <v>34</v>
      </c>
      <c r="C159" s="5">
        <v>3056.6</v>
      </c>
      <c r="D159" s="5">
        <v>89.899999999999991</v>
      </c>
      <c r="E159" s="6">
        <v>3.9</v>
      </c>
      <c r="F159" s="8">
        <v>31</v>
      </c>
      <c r="G159" s="7">
        <v>0</v>
      </c>
      <c r="H159" s="7">
        <v>1.4121251209287327</v>
      </c>
      <c r="I159" s="8">
        <v>34</v>
      </c>
      <c r="J159" s="7">
        <v>0</v>
      </c>
    </row>
    <row r="160" spans="1:10" x14ac:dyDescent="0.25">
      <c r="A160" s="3" t="s">
        <v>33</v>
      </c>
      <c r="B160" s="8">
        <v>23</v>
      </c>
      <c r="C160" s="5">
        <v>2086.89</v>
      </c>
      <c r="D160" s="5">
        <v>90.734347826086946</v>
      </c>
      <c r="E160" s="6">
        <v>4.1500000000000004</v>
      </c>
      <c r="F160" s="8">
        <v>102</v>
      </c>
      <c r="G160" s="7">
        <v>0.53570748066003571</v>
      </c>
      <c r="H160" s="7">
        <v>-0.71007432026488604</v>
      </c>
      <c r="I160" s="8">
        <v>23</v>
      </c>
      <c r="J160" s="7">
        <v>-1.3254889018723726</v>
      </c>
    </row>
    <row r="161" spans="1:10" x14ac:dyDescent="0.25">
      <c r="A161" s="3" t="s">
        <v>38</v>
      </c>
      <c r="B161" s="8">
        <v>23</v>
      </c>
      <c r="C161" s="5">
        <v>1194.6799999999998</v>
      </c>
      <c r="D161" s="5">
        <v>51.942608695652169</v>
      </c>
      <c r="E161" s="6">
        <v>4.166666666666667</v>
      </c>
      <c r="F161" s="8">
        <v>69</v>
      </c>
      <c r="G161" s="7">
        <v>0</v>
      </c>
      <c r="H161" s="7">
        <v>-0.4046224041803127</v>
      </c>
      <c r="I161" s="8">
        <v>23</v>
      </c>
      <c r="J161" s="7">
        <v>0</v>
      </c>
    </row>
    <row r="162" spans="1:10" x14ac:dyDescent="0.25">
      <c r="A162" s="3" t="s">
        <v>55</v>
      </c>
      <c r="B162" s="8">
        <v>3</v>
      </c>
      <c r="C162" s="5">
        <v>766.83</v>
      </c>
      <c r="D162" s="5">
        <v>255.61</v>
      </c>
      <c r="E162" s="6">
        <v>3.8</v>
      </c>
      <c r="F162" s="8">
        <v>3</v>
      </c>
      <c r="G162" s="7">
        <v>6.0596001759292355E-2</v>
      </c>
      <c r="H162" s="7">
        <v>-0.7916210894771385</v>
      </c>
      <c r="I162" s="8">
        <v>3</v>
      </c>
      <c r="J162" s="7">
        <v>-5</v>
      </c>
    </row>
    <row r="163" spans="1:10" x14ac:dyDescent="0.25">
      <c r="A163" s="3" t="s">
        <v>48</v>
      </c>
      <c r="B163" s="8">
        <v>5</v>
      </c>
      <c r="C163" s="5">
        <v>699.95</v>
      </c>
      <c r="D163" s="5">
        <v>139.99</v>
      </c>
      <c r="E163" s="6">
        <v>4.2</v>
      </c>
      <c r="F163" s="8">
        <v>5</v>
      </c>
      <c r="G163" s="7">
        <v>-0.12500781298831176</v>
      </c>
      <c r="H163" s="7">
        <v>-0.65339495200853182</v>
      </c>
      <c r="I163" s="8">
        <v>5</v>
      </c>
      <c r="J163" s="7">
        <v>5</v>
      </c>
    </row>
    <row r="164" spans="1:10" x14ac:dyDescent="0.25">
      <c r="A164" s="4">
        <v>42738</v>
      </c>
      <c r="B164" s="8">
        <v>101</v>
      </c>
      <c r="C164" s="5">
        <v>10204.379999999999</v>
      </c>
      <c r="D164" s="5">
        <v>101.03346534653464</v>
      </c>
      <c r="E164" s="6">
        <v>4.1076923076923073</v>
      </c>
      <c r="F164" s="8">
        <v>242</v>
      </c>
      <c r="G164" s="7">
        <v>0.64214432710453728</v>
      </c>
      <c r="H164" s="7">
        <v>-0.42552807784592861</v>
      </c>
      <c r="I164" s="8">
        <v>101</v>
      </c>
      <c r="J164" s="7">
        <v>-0.66266734733086752</v>
      </c>
    </row>
    <row r="165" spans="1:10" x14ac:dyDescent="0.25">
      <c r="A165" s="3" t="s">
        <v>40</v>
      </c>
      <c r="B165" s="8">
        <v>22</v>
      </c>
      <c r="C165" s="5">
        <v>2439.7799999999997</v>
      </c>
      <c r="D165" s="5">
        <v>110.8990909090909</v>
      </c>
      <c r="E165" s="6">
        <v>4.25</v>
      </c>
      <c r="F165" s="8">
        <v>44</v>
      </c>
      <c r="G165" s="7">
        <v>1.6834130648575674</v>
      </c>
      <c r="H165" s="7">
        <v>-0.28211085341310549</v>
      </c>
      <c r="I165" s="8">
        <v>22</v>
      </c>
      <c r="J165" s="7">
        <v>-0.16758266839100167</v>
      </c>
    </row>
    <row r="166" spans="1:10" x14ac:dyDescent="0.25">
      <c r="A166" s="3" t="s">
        <v>33</v>
      </c>
      <c r="B166" s="8">
        <v>22</v>
      </c>
      <c r="C166" s="5">
        <v>2019.24</v>
      </c>
      <c r="D166" s="5">
        <v>91.783636363636361</v>
      </c>
      <c r="E166" s="6">
        <v>4.166666666666667</v>
      </c>
      <c r="F166" s="8">
        <v>63</v>
      </c>
      <c r="G166" s="7">
        <v>0.34953495349534958</v>
      </c>
      <c r="H166" s="7">
        <v>-0.42257019966835641</v>
      </c>
      <c r="I166" s="8">
        <v>22</v>
      </c>
      <c r="J166" s="7">
        <v>-1.2089497643730744</v>
      </c>
    </row>
    <row r="167" spans="1:10" x14ac:dyDescent="0.25">
      <c r="A167" s="3" t="s">
        <v>38</v>
      </c>
      <c r="B167" s="8">
        <v>26</v>
      </c>
      <c r="C167" s="5">
        <v>2004.56</v>
      </c>
      <c r="D167" s="5">
        <v>77.098461538461535</v>
      </c>
      <c r="E167" s="6">
        <v>4.1499999999999995</v>
      </c>
      <c r="F167" s="8">
        <v>100</v>
      </c>
      <c r="G167" s="7">
        <v>0.20693064753495219</v>
      </c>
      <c r="H167" s="7">
        <v>-0.47525002789658377</v>
      </c>
      <c r="I167" s="8">
        <v>26</v>
      </c>
      <c r="J167" s="7">
        <v>-2.2966633196095825</v>
      </c>
    </row>
    <row r="168" spans="1:10" x14ac:dyDescent="0.25">
      <c r="A168" s="3" t="s">
        <v>31</v>
      </c>
      <c r="B168" s="8">
        <v>22</v>
      </c>
      <c r="C168" s="5">
        <v>1977.8</v>
      </c>
      <c r="D168" s="5">
        <v>89.899999999999991</v>
      </c>
      <c r="E168" s="6">
        <v>3.9</v>
      </c>
      <c r="F168" s="8">
        <v>20</v>
      </c>
      <c r="G168" s="7">
        <v>-1.5807402352838712E-16</v>
      </c>
      <c r="H168" s="7">
        <v>0.56278317152103563</v>
      </c>
      <c r="I168" s="8">
        <v>22</v>
      </c>
      <c r="J168" s="7">
        <v>-5</v>
      </c>
    </row>
    <row r="169" spans="1:10" x14ac:dyDescent="0.25">
      <c r="A169" s="3" t="s">
        <v>55</v>
      </c>
      <c r="B169" s="8">
        <v>6</v>
      </c>
      <c r="C169" s="5">
        <v>1283.03</v>
      </c>
      <c r="D169" s="5">
        <v>213.83833333333334</v>
      </c>
      <c r="E169" s="6">
        <v>3.8499999999999996</v>
      </c>
      <c r="F169" s="8">
        <v>12</v>
      </c>
      <c r="G169" s="7">
        <v>0</v>
      </c>
      <c r="H169" s="7">
        <v>-0.7930913958866872</v>
      </c>
      <c r="I169" s="8">
        <v>6</v>
      </c>
      <c r="J169" s="7">
        <v>0</v>
      </c>
    </row>
    <row r="170" spans="1:10" x14ac:dyDescent="0.25">
      <c r="A170" s="3" t="s">
        <v>48</v>
      </c>
      <c r="B170" s="8">
        <v>3</v>
      </c>
      <c r="C170" s="5">
        <v>479.97</v>
      </c>
      <c r="D170" s="5">
        <v>159.99</v>
      </c>
      <c r="E170" s="6">
        <v>4.2</v>
      </c>
      <c r="F170" s="8">
        <v>3</v>
      </c>
      <c r="G170" s="7">
        <v>0</v>
      </c>
      <c r="H170" s="7">
        <v>-0.79231863442389761</v>
      </c>
      <c r="I170" s="8">
        <v>3</v>
      </c>
      <c r="J170" s="7">
        <v>0</v>
      </c>
    </row>
    <row r="171" spans="1:10" x14ac:dyDescent="0.25">
      <c r="A171" s="4">
        <v>42737</v>
      </c>
      <c r="B171" s="8">
        <v>35</v>
      </c>
      <c r="C171" s="5">
        <v>3584.1099999999997</v>
      </c>
      <c r="D171" s="5">
        <v>102.40314285714285</v>
      </c>
      <c r="E171" s="6">
        <v>4.155555555555555</v>
      </c>
      <c r="F171" s="8">
        <v>78</v>
      </c>
      <c r="G171" s="7">
        <v>1.7728898881975603</v>
      </c>
      <c r="H171" s="7">
        <v>-0.72480527210891454</v>
      </c>
      <c r="I171" s="8">
        <v>35</v>
      </c>
      <c r="J171" s="7">
        <v>-0.40882701003264255</v>
      </c>
    </row>
    <row r="172" spans="1:10" x14ac:dyDescent="0.25">
      <c r="A172" s="3" t="s">
        <v>38</v>
      </c>
      <c r="B172" s="8">
        <v>20</v>
      </c>
      <c r="C172" s="5">
        <v>1944.4399999999998</v>
      </c>
      <c r="D172" s="5">
        <v>97.221999999999994</v>
      </c>
      <c r="E172" s="6">
        <v>4.166666666666667</v>
      </c>
      <c r="F172" s="8">
        <v>57</v>
      </c>
      <c r="G172" s="7">
        <v>4.8181445684398298E-2</v>
      </c>
      <c r="H172" s="7">
        <v>-0.48324281728479812</v>
      </c>
      <c r="I172" s="8">
        <v>20</v>
      </c>
      <c r="J172" s="7">
        <v>-5</v>
      </c>
    </row>
    <row r="173" spans="1:10" x14ac:dyDescent="0.25">
      <c r="A173" s="3" t="s">
        <v>40</v>
      </c>
      <c r="B173" s="8">
        <v>7</v>
      </c>
      <c r="C173" s="5">
        <v>599.92999999999995</v>
      </c>
      <c r="D173" s="5">
        <v>85.704285714285703</v>
      </c>
      <c r="E173" s="6">
        <v>4.2</v>
      </c>
      <c r="F173" s="8">
        <v>7</v>
      </c>
      <c r="G173" s="7">
        <v>0</v>
      </c>
      <c r="H173" s="7">
        <v>-0.52171297967039576</v>
      </c>
      <c r="I173" s="8">
        <v>7</v>
      </c>
      <c r="J173" s="7">
        <v>0</v>
      </c>
    </row>
    <row r="174" spans="1:10" x14ac:dyDescent="0.25">
      <c r="A174" s="3" t="s">
        <v>48</v>
      </c>
      <c r="B174" s="8">
        <v>3</v>
      </c>
      <c r="C174" s="5">
        <v>479.97</v>
      </c>
      <c r="D174" s="5">
        <v>159.99</v>
      </c>
      <c r="E174" s="6">
        <v>4.2</v>
      </c>
      <c r="F174" s="8">
        <v>3</v>
      </c>
      <c r="G174" s="7">
        <v>0</v>
      </c>
      <c r="H174" s="7">
        <v>-0.79260049804340094</v>
      </c>
      <c r="I174" s="8">
        <v>3</v>
      </c>
      <c r="J174" s="7">
        <v>0</v>
      </c>
    </row>
    <row r="175" spans="1:10" x14ac:dyDescent="0.25">
      <c r="A175" s="3" t="s">
        <v>33</v>
      </c>
      <c r="B175" s="8">
        <v>3</v>
      </c>
      <c r="C175" s="5">
        <v>379.97</v>
      </c>
      <c r="D175" s="5">
        <v>126.65666666666668</v>
      </c>
      <c r="E175" s="6">
        <v>4.2</v>
      </c>
      <c r="F175" s="8">
        <v>9</v>
      </c>
      <c r="G175" s="7">
        <v>0</v>
      </c>
      <c r="H175" s="7">
        <v>-0.93373731310290464</v>
      </c>
      <c r="I175" s="8">
        <v>3</v>
      </c>
      <c r="J175" s="7">
        <v>0</v>
      </c>
    </row>
    <row r="176" spans="1:10" x14ac:dyDescent="0.25">
      <c r="A176" s="3" t="s">
        <v>31</v>
      </c>
      <c r="B176" s="8">
        <v>2</v>
      </c>
      <c r="C176" s="5">
        <v>179.8</v>
      </c>
      <c r="D176" s="5">
        <v>89.9</v>
      </c>
      <c r="E176" s="6">
        <v>3.9</v>
      </c>
      <c r="F176" s="8">
        <v>2</v>
      </c>
      <c r="G176" s="7">
        <v>0</v>
      </c>
      <c r="H176" s="7">
        <v>-0.85820653933311752</v>
      </c>
      <c r="I176" s="8">
        <v>2</v>
      </c>
      <c r="J176" s="7">
        <v>0</v>
      </c>
    </row>
    <row r="177" spans="1:10" x14ac:dyDescent="0.25">
      <c r="A177" s="4">
        <v>42736</v>
      </c>
      <c r="B177" s="8">
        <v>9</v>
      </c>
      <c r="C177" s="5">
        <v>2864.1899999999996</v>
      </c>
      <c r="D177" s="5">
        <v>318.24333333333328</v>
      </c>
      <c r="E177" s="6">
        <v>4.0999999999999996</v>
      </c>
      <c r="F177" s="8">
        <v>18</v>
      </c>
      <c r="G177" s="7">
        <v>0</v>
      </c>
      <c r="H177" s="7">
        <v>-0.6991419439080907</v>
      </c>
      <c r="I177" s="8">
        <v>9</v>
      </c>
      <c r="J177" s="7">
        <v>0</v>
      </c>
    </row>
    <row r="178" spans="1:10" x14ac:dyDescent="0.25">
      <c r="A178" s="3" t="s">
        <v>38</v>
      </c>
      <c r="B178" s="8">
        <v>9</v>
      </c>
      <c r="C178" s="5">
        <v>2864.1899999999996</v>
      </c>
      <c r="D178" s="5">
        <v>318.24333333333328</v>
      </c>
      <c r="E178" s="6">
        <v>4.0999999999999996</v>
      </c>
      <c r="F178" s="8">
        <v>18</v>
      </c>
      <c r="G178" s="7">
        <v>0</v>
      </c>
      <c r="H178" s="7">
        <v>-0.6991419439080907</v>
      </c>
      <c r="I178" s="8">
        <v>9</v>
      </c>
      <c r="J178" s="7">
        <v>0</v>
      </c>
    </row>
    <row r="179" spans="1:10" x14ac:dyDescent="0.25">
      <c r="A179" s="4" t="s">
        <v>92</v>
      </c>
      <c r="B179" s="8">
        <v>9799</v>
      </c>
      <c r="C179" s="5">
        <v>961751.09999999835</v>
      </c>
      <c r="D179" s="5">
        <v>98.147882436983195</v>
      </c>
      <c r="E179" s="6">
        <v>4.0855029585798848</v>
      </c>
      <c r="F179" s="8">
        <v>54775</v>
      </c>
      <c r="G179" s="7">
        <v>7.6896657377883496E-2</v>
      </c>
      <c r="H179" s="7">
        <v>4.9069054433548136E-2</v>
      </c>
      <c r="I179" s="8">
        <v>9799</v>
      </c>
      <c r="J179" s="7">
        <v>0.63811687148394891</v>
      </c>
    </row>
  </sheetData>
  <sortState xmlns:xlrd2="http://schemas.microsoft.com/office/spreadsheetml/2017/richdata2" ref="A4:J179">
    <sortCondition descending="1" ref="F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1B78D-0833-489D-BF7B-B70700BCE313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B5263-2CF9-4837-8DC4-361FC5A025C5}">
  <dimension ref="A1:AG677"/>
  <sheetViews>
    <sheetView topLeftCell="B1" workbookViewId="0">
      <selection activeCell="AG1" sqref="AG1"/>
    </sheetView>
  </sheetViews>
  <sheetFormatPr defaultRowHeight="15" x14ac:dyDescent="0.25"/>
  <cols>
    <col min="1" max="1" width="12.7109375" customWidth="1"/>
    <col min="2" max="2" width="24.5703125" customWidth="1"/>
    <col min="3" max="3" width="13.7109375" customWidth="1"/>
    <col min="5" max="5" width="12.7109375" customWidth="1"/>
    <col min="6" max="6" width="14.5703125" customWidth="1"/>
    <col min="7" max="7" width="12.140625" customWidth="1"/>
    <col min="8" max="8" width="22.5703125" customWidth="1"/>
    <col min="9" max="9" width="27.85546875" customWidth="1"/>
    <col min="10" max="10" width="21" customWidth="1"/>
    <col min="11" max="11" width="18.85546875" customWidth="1"/>
    <col min="12" max="12" width="16" customWidth="1"/>
    <col min="13" max="13" width="12.7109375" customWidth="1"/>
    <col min="14" max="14" width="11" customWidth="1"/>
    <col min="15" max="15" width="11.28515625" customWidth="1"/>
    <col min="16" max="16" width="9.7109375" customWidth="1"/>
    <col min="20" max="20" width="9.85546875" customWidth="1"/>
    <col min="21" max="21" width="10" customWidth="1"/>
    <col min="24" max="24" width="10" customWidth="1"/>
    <col min="27" max="27" width="10" customWidth="1"/>
    <col min="30" max="30" width="11.140625" customWidth="1"/>
    <col min="31" max="39" width="11.28515625" customWidth="1"/>
    <col min="40" max="61" width="12.28515625" customWidth="1"/>
  </cols>
  <sheetData>
    <row r="1" spans="1:3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96</v>
      </c>
      <c r="AF1" t="s">
        <v>99</v>
      </c>
      <c r="AG1" t="s">
        <v>101</v>
      </c>
    </row>
    <row r="2" spans="1:33" x14ac:dyDescent="0.25">
      <c r="A2" t="s">
        <v>30</v>
      </c>
      <c r="B2" t="s">
        <v>31</v>
      </c>
      <c r="C2" s="1">
        <v>42740</v>
      </c>
      <c r="D2">
        <v>1</v>
      </c>
      <c r="E2">
        <v>45.95</v>
      </c>
      <c r="F2">
        <v>15.1</v>
      </c>
      <c r="G2">
        <v>45.95</v>
      </c>
      <c r="H2">
        <v>39</v>
      </c>
      <c r="I2">
        <v>161</v>
      </c>
      <c r="J2">
        <v>2</v>
      </c>
      <c r="K2">
        <v>350</v>
      </c>
      <c r="L2">
        <v>4</v>
      </c>
      <c r="M2">
        <v>57</v>
      </c>
      <c r="N2">
        <v>23</v>
      </c>
      <c r="O2">
        <v>8</v>
      </c>
      <c r="P2">
        <v>1</v>
      </c>
      <c r="Q2">
        <v>5</v>
      </c>
      <c r="R2">
        <v>2017</v>
      </c>
      <c r="S2">
        <v>10.26739356</v>
      </c>
      <c r="T2">
        <v>3800</v>
      </c>
      <c r="U2">
        <v>89.9</v>
      </c>
      <c r="V2">
        <v>3.9</v>
      </c>
      <c r="W2">
        <v>15.011896549999999</v>
      </c>
      <c r="X2">
        <v>215</v>
      </c>
      <c r="Y2">
        <v>4.4000000000000004</v>
      </c>
      <c r="Z2">
        <v>8.76</v>
      </c>
      <c r="AA2">
        <v>45.95</v>
      </c>
      <c r="AB2">
        <v>4</v>
      </c>
      <c r="AC2">
        <v>15.1</v>
      </c>
      <c r="AD2">
        <v>45.9</v>
      </c>
      <c r="AE2">
        <f>Table1[[#This Row],[total_price]]/Table1[[#This Row],[qty]]</f>
        <v>45.95</v>
      </c>
      <c r="AF2" t="str">
        <f t="shared" ref="AF2:AF65" si="0">IF(A2=A1,AE1,"")</f>
        <v/>
      </c>
      <c r="AG2" t="str">
        <f>IF(ROW()=2, "", AVERAGE(D1:D$2))</f>
        <v/>
      </c>
    </row>
    <row r="3" spans="1:33" x14ac:dyDescent="0.25">
      <c r="A3" t="s">
        <v>30</v>
      </c>
      <c r="B3" t="s">
        <v>31</v>
      </c>
      <c r="C3" s="1">
        <v>42741</v>
      </c>
      <c r="D3">
        <v>3</v>
      </c>
      <c r="E3">
        <v>137.85</v>
      </c>
      <c r="F3">
        <v>12.93333333</v>
      </c>
      <c r="G3">
        <v>45.95</v>
      </c>
      <c r="H3">
        <v>39</v>
      </c>
      <c r="I3">
        <v>161</v>
      </c>
      <c r="J3">
        <v>2</v>
      </c>
      <c r="K3">
        <v>350</v>
      </c>
      <c r="L3">
        <v>4</v>
      </c>
      <c r="M3">
        <v>61</v>
      </c>
      <c r="N3">
        <v>22</v>
      </c>
      <c r="O3">
        <v>8</v>
      </c>
      <c r="P3">
        <v>1</v>
      </c>
      <c r="Q3">
        <v>6</v>
      </c>
      <c r="R3">
        <v>2017</v>
      </c>
      <c r="S3">
        <v>6.5031152649999999</v>
      </c>
      <c r="T3">
        <v>3800</v>
      </c>
      <c r="U3">
        <v>89.9</v>
      </c>
      <c r="V3">
        <v>3.9</v>
      </c>
      <c r="W3">
        <v>14.769215689999999</v>
      </c>
      <c r="X3">
        <v>209</v>
      </c>
      <c r="Y3">
        <v>4.4000000000000004</v>
      </c>
      <c r="Z3">
        <v>21.321999999999999</v>
      </c>
      <c r="AA3">
        <v>45.95</v>
      </c>
      <c r="AB3">
        <v>4</v>
      </c>
      <c r="AC3">
        <v>12.93333333</v>
      </c>
      <c r="AD3">
        <v>45.95</v>
      </c>
      <c r="AE3">
        <f>Table1[[#This Row],[total_price]]/Table1[[#This Row],[qty]]</f>
        <v>45.949999999999996</v>
      </c>
      <c r="AF3">
        <f t="shared" si="0"/>
        <v>45.95</v>
      </c>
      <c r="AG3">
        <f>IF(ROW()=2, "", AVERAGE(D2:D$2))</f>
        <v>1</v>
      </c>
    </row>
    <row r="4" spans="1:33" x14ac:dyDescent="0.25">
      <c r="A4" t="s">
        <v>30</v>
      </c>
      <c r="B4" t="s">
        <v>31</v>
      </c>
      <c r="C4" s="1">
        <v>42742</v>
      </c>
      <c r="D4">
        <v>6</v>
      </c>
      <c r="E4">
        <v>275.7</v>
      </c>
      <c r="F4">
        <v>14.84</v>
      </c>
      <c r="G4">
        <v>45.95</v>
      </c>
      <c r="H4">
        <v>39</v>
      </c>
      <c r="I4">
        <v>161</v>
      </c>
      <c r="J4">
        <v>2</v>
      </c>
      <c r="K4">
        <v>350</v>
      </c>
      <c r="L4">
        <v>4</v>
      </c>
      <c r="M4">
        <v>123</v>
      </c>
      <c r="N4">
        <v>21</v>
      </c>
      <c r="O4">
        <v>10</v>
      </c>
      <c r="P4">
        <v>1</v>
      </c>
      <c r="Q4">
        <v>7</v>
      </c>
      <c r="R4">
        <v>2017</v>
      </c>
      <c r="S4">
        <v>12.07165109</v>
      </c>
      <c r="T4">
        <v>3800</v>
      </c>
      <c r="U4">
        <v>89.9</v>
      </c>
      <c r="V4">
        <v>3.9</v>
      </c>
      <c r="W4">
        <v>13.993833329999999</v>
      </c>
      <c r="X4">
        <v>205</v>
      </c>
      <c r="Y4">
        <v>4.4000000000000004</v>
      </c>
      <c r="Z4">
        <v>22.195932200000001</v>
      </c>
      <c r="AA4">
        <v>45.95</v>
      </c>
      <c r="AB4">
        <v>4</v>
      </c>
      <c r="AC4">
        <v>14.84</v>
      </c>
      <c r="AD4">
        <v>45.95</v>
      </c>
      <c r="AE4">
        <f>Table1[[#This Row],[total_price]]/Table1[[#This Row],[qty]]</f>
        <v>45.949999999999996</v>
      </c>
      <c r="AF4">
        <f t="shared" si="0"/>
        <v>45.949999999999996</v>
      </c>
      <c r="AG4">
        <f>IF(ROW()=2, "", AVERAGE(D$2:D3))</f>
        <v>2</v>
      </c>
    </row>
    <row r="5" spans="1:33" x14ac:dyDescent="0.25">
      <c r="A5" t="s">
        <v>30</v>
      </c>
      <c r="B5" t="s">
        <v>31</v>
      </c>
      <c r="C5" s="1">
        <v>42743</v>
      </c>
      <c r="D5">
        <v>4</v>
      </c>
      <c r="E5">
        <v>183.8</v>
      </c>
      <c r="F5">
        <v>14.2875</v>
      </c>
      <c r="G5">
        <v>45.95</v>
      </c>
      <c r="H5">
        <v>39</v>
      </c>
      <c r="I5">
        <v>161</v>
      </c>
      <c r="J5">
        <v>2</v>
      </c>
      <c r="K5">
        <v>350</v>
      </c>
      <c r="L5">
        <v>4</v>
      </c>
      <c r="M5">
        <v>90</v>
      </c>
      <c r="N5">
        <v>23</v>
      </c>
      <c r="O5">
        <v>8</v>
      </c>
      <c r="P5">
        <v>1</v>
      </c>
      <c r="Q5">
        <v>8</v>
      </c>
      <c r="R5">
        <v>2017</v>
      </c>
      <c r="S5">
        <v>9.2938733130000006</v>
      </c>
      <c r="T5">
        <v>3800</v>
      </c>
      <c r="U5">
        <v>89.9</v>
      </c>
      <c r="V5">
        <v>3.9</v>
      </c>
      <c r="W5">
        <v>14.65675676</v>
      </c>
      <c r="X5">
        <v>199.50980390000001</v>
      </c>
      <c r="Y5">
        <v>4.4000000000000004</v>
      </c>
      <c r="Z5">
        <v>19.41288462</v>
      </c>
      <c r="AA5">
        <v>45.95</v>
      </c>
      <c r="AB5">
        <v>4</v>
      </c>
      <c r="AC5">
        <v>14.2875</v>
      </c>
      <c r="AD5">
        <v>45.95</v>
      </c>
      <c r="AE5">
        <f>Table1[[#This Row],[total_price]]/Table1[[#This Row],[qty]]</f>
        <v>45.95</v>
      </c>
      <c r="AF5">
        <f t="shared" si="0"/>
        <v>45.949999999999996</v>
      </c>
      <c r="AG5">
        <f>IF(ROW()=2, "", AVERAGE(D$2:D4))</f>
        <v>3.3333333333333335</v>
      </c>
    </row>
    <row r="6" spans="1:33" x14ac:dyDescent="0.25">
      <c r="A6" t="s">
        <v>30</v>
      </c>
      <c r="B6" t="s">
        <v>31</v>
      </c>
      <c r="C6" s="1">
        <v>42744</v>
      </c>
      <c r="D6">
        <v>2</v>
      </c>
      <c r="E6">
        <v>91.9</v>
      </c>
      <c r="F6">
        <v>15.1</v>
      </c>
      <c r="G6">
        <v>45.95</v>
      </c>
      <c r="H6">
        <v>39</v>
      </c>
      <c r="I6">
        <v>161</v>
      </c>
      <c r="J6">
        <v>2</v>
      </c>
      <c r="K6">
        <v>350</v>
      </c>
      <c r="L6">
        <v>4</v>
      </c>
      <c r="M6">
        <v>54</v>
      </c>
      <c r="N6">
        <v>21</v>
      </c>
      <c r="O6">
        <v>9</v>
      </c>
      <c r="P6">
        <v>1</v>
      </c>
      <c r="Q6">
        <v>9</v>
      </c>
      <c r="R6">
        <v>2017</v>
      </c>
      <c r="S6">
        <v>5.5555555559999998</v>
      </c>
      <c r="T6">
        <v>3800</v>
      </c>
      <c r="U6">
        <v>89.9</v>
      </c>
      <c r="V6">
        <v>3.9</v>
      </c>
      <c r="W6">
        <v>18.77652174</v>
      </c>
      <c r="X6">
        <v>163.39870970000001</v>
      </c>
      <c r="Y6">
        <v>4.4000000000000004</v>
      </c>
      <c r="Z6">
        <v>24.3246875</v>
      </c>
      <c r="AA6">
        <v>45.95</v>
      </c>
      <c r="AB6">
        <v>4</v>
      </c>
      <c r="AC6">
        <v>15.1</v>
      </c>
      <c r="AD6">
        <v>45.95</v>
      </c>
      <c r="AE6">
        <f>Table1[[#This Row],[total_price]]/Table1[[#This Row],[qty]]</f>
        <v>45.95</v>
      </c>
      <c r="AF6">
        <f t="shared" si="0"/>
        <v>45.95</v>
      </c>
      <c r="AG6">
        <f>IF(ROW()=2, "", AVERAGE(D$2:D5))</f>
        <v>3.5</v>
      </c>
    </row>
    <row r="7" spans="1:33" x14ac:dyDescent="0.25">
      <c r="A7" t="s">
        <v>30</v>
      </c>
      <c r="B7" t="s">
        <v>31</v>
      </c>
      <c r="C7" s="1">
        <v>42745</v>
      </c>
      <c r="D7">
        <v>3</v>
      </c>
      <c r="E7">
        <v>137.85</v>
      </c>
      <c r="F7">
        <v>15.1</v>
      </c>
      <c r="G7">
        <v>45.95</v>
      </c>
      <c r="H7">
        <v>39</v>
      </c>
      <c r="I7">
        <v>161</v>
      </c>
      <c r="J7">
        <v>2</v>
      </c>
      <c r="K7">
        <v>350</v>
      </c>
      <c r="L7">
        <v>4</v>
      </c>
      <c r="M7">
        <v>50</v>
      </c>
      <c r="N7">
        <v>22</v>
      </c>
      <c r="O7">
        <v>9</v>
      </c>
      <c r="P7">
        <v>2</v>
      </c>
      <c r="Q7">
        <v>10</v>
      </c>
      <c r="R7">
        <v>2017</v>
      </c>
      <c r="S7">
        <v>8.3333333330000006</v>
      </c>
      <c r="T7">
        <v>3800</v>
      </c>
      <c r="U7">
        <v>89.9</v>
      </c>
      <c r="V7">
        <v>3.9</v>
      </c>
      <c r="W7">
        <v>21.57214286</v>
      </c>
      <c r="X7">
        <v>45.95</v>
      </c>
      <c r="Y7">
        <v>4</v>
      </c>
      <c r="Z7">
        <v>15.1</v>
      </c>
      <c r="AA7">
        <v>45.95</v>
      </c>
      <c r="AB7">
        <v>4</v>
      </c>
      <c r="AC7">
        <v>15.1</v>
      </c>
      <c r="AD7">
        <v>45.95</v>
      </c>
      <c r="AE7">
        <f>Table1[[#This Row],[total_price]]/Table1[[#This Row],[qty]]</f>
        <v>45.949999999999996</v>
      </c>
      <c r="AF7">
        <f t="shared" si="0"/>
        <v>45.95</v>
      </c>
      <c r="AG7">
        <f>IF(ROW()=2, "", AVERAGE(D$2:D6))</f>
        <v>3.2</v>
      </c>
    </row>
    <row r="8" spans="1:33" x14ac:dyDescent="0.25">
      <c r="A8" t="s">
        <v>30</v>
      </c>
      <c r="B8" t="s">
        <v>31</v>
      </c>
      <c r="C8" s="1">
        <v>42746</v>
      </c>
      <c r="D8">
        <v>11</v>
      </c>
      <c r="E8">
        <v>445.85</v>
      </c>
      <c r="F8">
        <v>15.832727269999999</v>
      </c>
      <c r="G8">
        <v>40.531818180000002</v>
      </c>
      <c r="H8">
        <v>39</v>
      </c>
      <c r="I8">
        <v>161</v>
      </c>
      <c r="J8">
        <v>2</v>
      </c>
      <c r="K8">
        <v>350</v>
      </c>
      <c r="L8">
        <v>4</v>
      </c>
      <c r="M8">
        <v>97</v>
      </c>
      <c r="N8">
        <v>22</v>
      </c>
      <c r="O8">
        <v>8</v>
      </c>
      <c r="P8">
        <v>4</v>
      </c>
      <c r="Q8">
        <v>11</v>
      </c>
      <c r="R8">
        <v>2017</v>
      </c>
      <c r="S8">
        <v>30.555555559999998</v>
      </c>
      <c r="T8">
        <v>3800</v>
      </c>
      <c r="U8">
        <v>89.9</v>
      </c>
      <c r="V8">
        <v>3.9</v>
      </c>
      <c r="W8">
        <v>16.294</v>
      </c>
      <c r="X8">
        <v>40.531818180000002</v>
      </c>
      <c r="Y8">
        <v>4</v>
      </c>
      <c r="Z8">
        <v>15.832727269999999</v>
      </c>
      <c r="AA8">
        <v>40.531818180000002</v>
      </c>
      <c r="AB8">
        <v>4</v>
      </c>
      <c r="AC8">
        <v>15.832727269999999</v>
      </c>
      <c r="AD8">
        <v>45.95</v>
      </c>
      <c r="AE8">
        <f>Table1[[#This Row],[total_price]]/Table1[[#This Row],[qty]]</f>
        <v>40.531818181818181</v>
      </c>
      <c r="AF8">
        <f t="shared" si="0"/>
        <v>45.949999999999996</v>
      </c>
      <c r="AG8">
        <f>IF(ROW()=2, "", AVERAGE(D$2:D7))</f>
        <v>3.1666666666666665</v>
      </c>
    </row>
    <row r="9" spans="1:33" x14ac:dyDescent="0.25">
      <c r="A9" t="s">
        <v>30</v>
      </c>
      <c r="B9" t="s">
        <v>31</v>
      </c>
      <c r="C9" s="1">
        <v>42747</v>
      </c>
      <c r="D9">
        <v>6</v>
      </c>
      <c r="E9">
        <v>239.94</v>
      </c>
      <c r="F9">
        <v>15.23</v>
      </c>
      <c r="G9">
        <v>39.99</v>
      </c>
      <c r="H9">
        <v>39</v>
      </c>
      <c r="I9">
        <v>161</v>
      </c>
      <c r="J9">
        <v>2</v>
      </c>
      <c r="K9">
        <v>350</v>
      </c>
      <c r="L9">
        <v>4</v>
      </c>
      <c r="M9">
        <v>41</v>
      </c>
      <c r="N9">
        <v>21</v>
      </c>
      <c r="O9">
        <v>10</v>
      </c>
      <c r="P9">
        <v>1</v>
      </c>
      <c r="Q9">
        <v>12</v>
      </c>
      <c r="R9">
        <v>2017</v>
      </c>
      <c r="S9">
        <v>16.666666670000001</v>
      </c>
      <c r="T9">
        <v>3800</v>
      </c>
      <c r="U9">
        <v>88.488235290000006</v>
      </c>
      <c r="V9">
        <v>3.9</v>
      </c>
      <c r="W9">
        <v>18.89833333</v>
      </c>
      <c r="X9">
        <v>39.99</v>
      </c>
      <c r="Y9">
        <v>4</v>
      </c>
      <c r="Z9">
        <v>15.23</v>
      </c>
      <c r="AA9">
        <v>39.99</v>
      </c>
      <c r="AB9">
        <v>4</v>
      </c>
      <c r="AC9">
        <v>15.23</v>
      </c>
      <c r="AD9">
        <v>40.531818180000002</v>
      </c>
      <c r="AE9">
        <f>Table1[[#This Row],[total_price]]/Table1[[#This Row],[qty]]</f>
        <v>39.99</v>
      </c>
      <c r="AF9">
        <f t="shared" si="0"/>
        <v>40.531818181818181</v>
      </c>
      <c r="AG9">
        <f>IF(ROW()=2, "", AVERAGE(D$2:D8))</f>
        <v>4.2857142857142856</v>
      </c>
    </row>
    <row r="10" spans="1:33" x14ac:dyDescent="0.25">
      <c r="A10" t="s">
        <v>30</v>
      </c>
      <c r="B10" t="s">
        <v>31</v>
      </c>
      <c r="C10" s="1">
        <v>43101</v>
      </c>
      <c r="D10">
        <v>19</v>
      </c>
      <c r="E10">
        <v>759.81</v>
      </c>
      <c r="F10">
        <v>16.533684210000001</v>
      </c>
      <c r="G10">
        <v>39.99</v>
      </c>
      <c r="H10">
        <v>39</v>
      </c>
      <c r="I10">
        <v>161</v>
      </c>
      <c r="J10">
        <v>2</v>
      </c>
      <c r="K10">
        <v>350</v>
      </c>
      <c r="L10">
        <v>4</v>
      </c>
      <c r="M10">
        <v>62</v>
      </c>
      <c r="N10">
        <v>23</v>
      </c>
      <c r="O10">
        <v>8</v>
      </c>
      <c r="P10">
        <v>2</v>
      </c>
      <c r="Q10">
        <v>1</v>
      </c>
      <c r="R10">
        <v>2018</v>
      </c>
      <c r="S10">
        <v>17.757009350000001</v>
      </c>
      <c r="T10">
        <v>3800</v>
      </c>
      <c r="U10">
        <v>86.9</v>
      </c>
      <c r="V10">
        <v>3.9</v>
      </c>
      <c r="W10">
        <v>19.383529410000001</v>
      </c>
      <c r="X10">
        <v>39.99</v>
      </c>
      <c r="Y10">
        <v>4</v>
      </c>
      <c r="Z10">
        <v>16.533684210000001</v>
      </c>
      <c r="AA10">
        <v>39.99</v>
      </c>
      <c r="AB10">
        <v>4</v>
      </c>
      <c r="AC10">
        <v>16.533684210000001</v>
      </c>
      <c r="AD10">
        <v>39.99</v>
      </c>
      <c r="AE10">
        <f>Table1[[#This Row],[total_price]]/Table1[[#This Row],[qty]]</f>
        <v>39.989999999999995</v>
      </c>
      <c r="AF10">
        <f t="shared" si="0"/>
        <v>39.99</v>
      </c>
      <c r="AG10">
        <f>IF(ROW()=2, "", AVERAGE(D$2:D9))</f>
        <v>4.5</v>
      </c>
    </row>
    <row r="11" spans="1:33" x14ac:dyDescent="0.25">
      <c r="A11" t="s">
        <v>30</v>
      </c>
      <c r="B11" t="s">
        <v>31</v>
      </c>
      <c r="C11" s="1">
        <v>43102</v>
      </c>
      <c r="D11">
        <v>18</v>
      </c>
      <c r="E11">
        <v>719.82</v>
      </c>
      <c r="F11">
        <v>13.74944444</v>
      </c>
      <c r="G11">
        <v>39.99</v>
      </c>
      <c r="H11">
        <v>39</v>
      </c>
      <c r="I11">
        <v>161</v>
      </c>
      <c r="J11">
        <v>2</v>
      </c>
      <c r="K11">
        <v>350</v>
      </c>
      <c r="L11">
        <v>4</v>
      </c>
      <c r="M11">
        <v>62</v>
      </c>
      <c r="N11">
        <v>20</v>
      </c>
      <c r="O11">
        <v>8</v>
      </c>
      <c r="P11">
        <v>2</v>
      </c>
      <c r="Q11">
        <v>2</v>
      </c>
      <c r="R11">
        <v>2018</v>
      </c>
      <c r="S11">
        <v>16.82242991</v>
      </c>
      <c r="T11">
        <v>3800</v>
      </c>
      <c r="U11">
        <v>86.9</v>
      </c>
      <c r="V11">
        <v>3.9</v>
      </c>
      <c r="W11">
        <v>19.20909091</v>
      </c>
      <c r="X11">
        <v>39.99</v>
      </c>
      <c r="Y11">
        <v>4</v>
      </c>
      <c r="Z11">
        <v>13.74944444</v>
      </c>
      <c r="AA11">
        <v>39.99</v>
      </c>
      <c r="AB11">
        <v>4</v>
      </c>
      <c r="AC11">
        <v>13.74944444</v>
      </c>
      <c r="AD11">
        <v>39.99</v>
      </c>
      <c r="AE11">
        <f>Table1[[#This Row],[total_price]]/Table1[[#This Row],[qty]]</f>
        <v>39.99</v>
      </c>
      <c r="AF11">
        <f t="shared" si="0"/>
        <v>39.989999999999995</v>
      </c>
      <c r="AG11">
        <f>IF(ROW()=2, "", AVERAGE(D$2:D10))</f>
        <v>6.1111111111111107</v>
      </c>
    </row>
    <row r="12" spans="1:33" x14ac:dyDescent="0.25">
      <c r="A12" t="s">
        <v>30</v>
      </c>
      <c r="B12" t="s">
        <v>31</v>
      </c>
      <c r="C12" s="1">
        <v>43103</v>
      </c>
      <c r="D12">
        <v>17</v>
      </c>
      <c r="E12">
        <v>679.83</v>
      </c>
      <c r="F12">
        <v>16.462352939999999</v>
      </c>
      <c r="G12">
        <v>39.99</v>
      </c>
      <c r="H12">
        <v>39</v>
      </c>
      <c r="I12">
        <v>161</v>
      </c>
      <c r="J12">
        <v>2</v>
      </c>
      <c r="K12">
        <v>350</v>
      </c>
      <c r="L12">
        <v>4</v>
      </c>
      <c r="M12">
        <v>43</v>
      </c>
      <c r="N12">
        <v>22</v>
      </c>
      <c r="O12">
        <v>9</v>
      </c>
      <c r="P12">
        <v>1</v>
      </c>
      <c r="Q12">
        <v>3</v>
      </c>
      <c r="R12">
        <v>2018</v>
      </c>
      <c r="S12">
        <v>15.88785047</v>
      </c>
      <c r="T12">
        <v>3800</v>
      </c>
      <c r="U12">
        <v>86.9</v>
      </c>
      <c r="V12">
        <v>3.9</v>
      </c>
      <c r="W12">
        <v>19.982352939999998</v>
      </c>
      <c r="X12">
        <v>39.99</v>
      </c>
      <c r="Y12">
        <v>4</v>
      </c>
      <c r="Z12">
        <v>16.462352939999999</v>
      </c>
      <c r="AA12">
        <v>39.99</v>
      </c>
      <c r="AB12">
        <v>4</v>
      </c>
      <c r="AC12">
        <v>16.462352939999999</v>
      </c>
      <c r="AD12">
        <v>39.99</v>
      </c>
      <c r="AE12">
        <f>Table1[[#This Row],[total_price]]/Table1[[#This Row],[qty]]</f>
        <v>39.99</v>
      </c>
      <c r="AF12">
        <f t="shared" si="0"/>
        <v>39.99</v>
      </c>
      <c r="AG12">
        <f>IF(ROW()=2, "", AVERAGE(D$2:D11))</f>
        <v>7.3</v>
      </c>
    </row>
    <row r="13" spans="1:33" x14ac:dyDescent="0.25">
      <c r="A13" t="s">
        <v>30</v>
      </c>
      <c r="B13" t="s">
        <v>31</v>
      </c>
      <c r="C13" s="1">
        <v>43104</v>
      </c>
      <c r="D13">
        <v>13</v>
      </c>
      <c r="E13">
        <v>519.87</v>
      </c>
      <c r="F13">
        <v>14.236153850000001</v>
      </c>
      <c r="G13">
        <v>39.99</v>
      </c>
      <c r="H13">
        <v>39</v>
      </c>
      <c r="I13">
        <v>161</v>
      </c>
      <c r="J13">
        <v>2</v>
      </c>
      <c r="K13">
        <v>350</v>
      </c>
      <c r="L13">
        <v>4</v>
      </c>
      <c r="M13">
        <v>34</v>
      </c>
      <c r="N13">
        <v>21</v>
      </c>
      <c r="O13">
        <v>9</v>
      </c>
      <c r="P13">
        <v>1</v>
      </c>
      <c r="Q13">
        <v>4</v>
      </c>
      <c r="R13">
        <v>2018</v>
      </c>
      <c r="S13">
        <v>12.149532710000001</v>
      </c>
      <c r="T13">
        <v>3800</v>
      </c>
      <c r="U13">
        <v>85.045000000000002</v>
      </c>
      <c r="V13">
        <v>3.9</v>
      </c>
      <c r="W13">
        <v>12.94</v>
      </c>
      <c r="X13">
        <v>39.99</v>
      </c>
      <c r="Y13">
        <v>4</v>
      </c>
      <c r="Z13">
        <v>14.236153850000001</v>
      </c>
      <c r="AA13">
        <v>39.99</v>
      </c>
      <c r="AB13">
        <v>4</v>
      </c>
      <c r="AC13">
        <v>14.236153850000001</v>
      </c>
      <c r="AD13">
        <v>39.99</v>
      </c>
      <c r="AE13">
        <f>Table1[[#This Row],[total_price]]/Table1[[#This Row],[qty]]</f>
        <v>39.99</v>
      </c>
      <c r="AF13">
        <f t="shared" si="0"/>
        <v>39.99</v>
      </c>
      <c r="AG13">
        <f>IF(ROW()=2, "", AVERAGE(D$2:D12))</f>
        <v>8.1818181818181817</v>
      </c>
    </row>
    <row r="14" spans="1:33" x14ac:dyDescent="0.25">
      <c r="A14" t="s">
        <v>30</v>
      </c>
      <c r="B14" t="s">
        <v>31</v>
      </c>
      <c r="C14" s="1">
        <v>43105</v>
      </c>
      <c r="D14">
        <v>19</v>
      </c>
      <c r="E14">
        <v>759.81</v>
      </c>
      <c r="F14">
        <v>10.25631579</v>
      </c>
      <c r="G14">
        <v>39.99</v>
      </c>
      <c r="H14">
        <v>39</v>
      </c>
      <c r="I14">
        <v>161</v>
      </c>
      <c r="J14">
        <v>2</v>
      </c>
      <c r="K14">
        <v>350</v>
      </c>
      <c r="L14">
        <v>4</v>
      </c>
      <c r="M14">
        <v>57</v>
      </c>
      <c r="N14">
        <v>23</v>
      </c>
      <c r="O14">
        <v>8</v>
      </c>
      <c r="P14">
        <v>3</v>
      </c>
      <c r="Q14">
        <v>5</v>
      </c>
      <c r="R14">
        <v>2018</v>
      </c>
      <c r="S14">
        <v>10.26739356</v>
      </c>
      <c r="T14">
        <v>3800</v>
      </c>
      <c r="U14">
        <v>83.64961538</v>
      </c>
      <c r="V14">
        <v>3.9</v>
      </c>
      <c r="W14">
        <v>16.78038462</v>
      </c>
      <c r="X14">
        <v>39.99</v>
      </c>
      <c r="Y14">
        <v>4</v>
      </c>
      <c r="Z14">
        <v>10.25631579</v>
      </c>
      <c r="AA14">
        <v>39.99</v>
      </c>
      <c r="AB14">
        <v>4</v>
      </c>
      <c r="AC14">
        <v>10.25631579</v>
      </c>
      <c r="AD14">
        <v>39.99</v>
      </c>
      <c r="AE14">
        <f>Table1[[#This Row],[total_price]]/Table1[[#This Row],[qty]]</f>
        <v>39.989999999999995</v>
      </c>
      <c r="AF14">
        <f t="shared" si="0"/>
        <v>39.99</v>
      </c>
      <c r="AG14">
        <f>IF(ROW()=2, "", AVERAGE(D$2:D13))</f>
        <v>8.5833333333333339</v>
      </c>
    </row>
    <row r="15" spans="1:33" x14ac:dyDescent="0.25">
      <c r="A15" t="s">
        <v>30</v>
      </c>
      <c r="B15" t="s">
        <v>31</v>
      </c>
      <c r="C15" s="1">
        <v>43106</v>
      </c>
      <c r="D15">
        <v>5</v>
      </c>
      <c r="E15">
        <v>199.95</v>
      </c>
      <c r="F15">
        <v>13.997999999999999</v>
      </c>
      <c r="G15">
        <v>39.99</v>
      </c>
      <c r="H15">
        <v>39</v>
      </c>
      <c r="I15">
        <v>161</v>
      </c>
      <c r="J15">
        <v>2</v>
      </c>
      <c r="K15">
        <v>350</v>
      </c>
      <c r="L15">
        <v>4</v>
      </c>
      <c r="M15">
        <v>43</v>
      </c>
      <c r="N15">
        <v>21</v>
      </c>
      <c r="O15">
        <v>9</v>
      </c>
      <c r="P15">
        <v>0</v>
      </c>
      <c r="Q15">
        <v>6</v>
      </c>
      <c r="R15">
        <v>2018</v>
      </c>
      <c r="S15">
        <v>6.5031152649999999</v>
      </c>
      <c r="T15">
        <v>3800</v>
      </c>
      <c r="U15">
        <v>79.900000000000006</v>
      </c>
      <c r="V15">
        <v>3.9</v>
      </c>
      <c r="W15">
        <v>23.005652170000001</v>
      </c>
      <c r="X15">
        <v>39.99</v>
      </c>
      <c r="Y15">
        <v>4</v>
      </c>
      <c r="Z15">
        <v>13.997999999999999</v>
      </c>
      <c r="AA15">
        <v>39.99</v>
      </c>
      <c r="AB15">
        <v>4</v>
      </c>
      <c r="AC15">
        <v>13.997999999999999</v>
      </c>
      <c r="AD15">
        <v>39.99</v>
      </c>
      <c r="AE15">
        <f>Table1[[#This Row],[total_price]]/Table1[[#This Row],[qty]]</f>
        <v>39.989999999999995</v>
      </c>
      <c r="AF15">
        <f t="shared" si="0"/>
        <v>39.989999999999995</v>
      </c>
      <c r="AG15">
        <f>IF(ROW()=2, "", AVERAGE(D$2:D14))</f>
        <v>9.384615384615385</v>
      </c>
    </row>
    <row r="16" spans="1:33" x14ac:dyDescent="0.25">
      <c r="A16" t="s">
        <v>30</v>
      </c>
      <c r="B16" t="s">
        <v>31</v>
      </c>
      <c r="C16" s="1">
        <v>43107</v>
      </c>
      <c r="D16">
        <v>8</v>
      </c>
      <c r="E16">
        <v>319.92</v>
      </c>
      <c r="F16">
        <v>20.4175</v>
      </c>
      <c r="G16">
        <v>39.99</v>
      </c>
      <c r="H16">
        <v>39</v>
      </c>
      <c r="I16">
        <v>161</v>
      </c>
      <c r="J16">
        <v>2</v>
      </c>
      <c r="K16">
        <v>350</v>
      </c>
      <c r="L16">
        <v>4</v>
      </c>
      <c r="M16">
        <v>26</v>
      </c>
      <c r="N16">
        <v>22</v>
      </c>
      <c r="O16">
        <v>9</v>
      </c>
      <c r="P16">
        <v>1</v>
      </c>
      <c r="Q16">
        <v>7</v>
      </c>
      <c r="R16">
        <v>2018</v>
      </c>
      <c r="S16">
        <v>12.07165109</v>
      </c>
      <c r="T16">
        <v>3800</v>
      </c>
      <c r="U16">
        <v>77.933333329999996</v>
      </c>
      <c r="V16">
        <v>3.9</v>
      </c>
      <c r="W16">
        <v>19.952000000000002</v>
      </c>
      <c r="X16">
        <v>39.99</v>
      </c>
      <c r="Y16">
        <v>4</v>
      </c>
      <c r="Z16">
        <v>20.4175</v>
      </c>
      <c r="AA16">
        <v>39.99</v>
      </c>
      <c r="AB16">
        <v>4</v>
      </c>
      <c r="AC16">
        <v>20.4175</v>
      </c>
      <c r="AD16">
        <v>39.99</v>
      </c>
      <c r="AE16">
        <f>Table1[[#This Row],[total_price]]/Table1[[#This Row],[qty]]</f>
        <v>39.99</v>
      </c>
      <c r="AF16">
        <f t="shared" si="0"/>
        <v>39.989999999999995</v>
      </c>
      <c r="AG16">
        <f>IF(ROW()=2, "", AVERAGE(D$2:D15))</f>
        <v>9.0714285714285712</v>
      </c>
    </row>
    <row r="17" spans="1:33" x14ac:dyDescent="0.25">
      <c r="A17" t="s">
        <v>30</v>
      </c>
      <c r="B17" t="s">
        <v>31</v>
      </c>
      <c r="C17" s="1">
        <v>43108</v>
      </c>
      <c r="D17">
        <v>8</v>
      </c>
      <c r="E17">
        <v>313.92</v>
      </c>
      <c r="F17">
        <v>16.333749999999998</v>
      </c>
      <c r="G17">
        <v>39.24</v>
      </c>
      <c r="H17">
        <v>39</v>
      </c>
      <c r="I17">
        <v>161</v>
      </c>
      <c r="J17">
        <v>2</v>
      </c>
      <c r="K17">
        <v>350</v>
      </c>
      <c r="L17">
        <v>4</v>
      </c>
      <c r="M17">
        <v>15</v>
      </c>
      <c r="N17">
        <v>23</v>
      </c>
      <c r="O17">
        <v>8</v>
      </c>
      <c r="P17">
        <v>1</v>
      </c>
      <c r="Q17">
        <v>8</v>
      </c>
      <c r="R17">
        <v>2018</v>
      </c>
      <c r="S17">
        <v>9.2938733130000006</v>
      </c>
      <c r="T17">
        <v>3800</v>
      </c>
      <c r="U17">
        <v>74</v>
      </c>
      <c r="V17">
        <v>3.9</v>
      </c>
      <c r="W17">
        <v>17.25571429</v>
      </c>
      <c r="X17">
        <v>39.24</v>
      </c>
      <c r="Y17">
        <v>4</v>
      </c>
      <c r="Z17">
        <v>16.333749999999998</v>
      </c>
      <c r="AA17">
        <v>39.24</v>
      </c>
      <c r="AB17">
        <v>4</v>
      </c>
      <c r="AC17">
        <v>16.333749999999998</v>
      </c>
      <c r="AD17">
        <v>39.99</v>
      </c>
      <c r="AE17">
        <f>Table1[[#This Row],[total_price]]/Table1[[#This Row],[qty]]</f>
        <v>39.24</v>
      </c>
      <c r="AF17">
        <f t="shared" si="0"/>
        <v>39.99</v>
      </c>
      <c r="AG17">
        <f>IF(ROW()=2, "", AVERAGE(D$2:D16))</f>
        <v>9</v>
      </c>
    </row>
    <row r="18" spans="1:33" x14ac:dyDescent="0.25">
      <c r="A18" t="s">
        <v>32</v>
      </c>
      <c r="B18" t="s">
        <v>33</v>
      </c>
      <c r="C18" s="1">
        <v>42738</v>
      </c>
      <c r="D18">
        <v>6</v>
      </c>
      <c r="E18">
        <v>419.4</v>
      </c>
      <c r="F18">
        <v>32.68</v>
      </c>
      <c r="G18">
        <v>69.900000000000006</v>
      </c>
      <c r="H18">
        <v>36</v>
      </c>
      <c r="I18">
        <v>450</v>
      </c>
      <c r="J18">
        <v>1</v>
      </c>
      <c r="K18">
        <v>9000</v>
      </c>
      <c r="L18">
        <v>4.0999999999999996</v>
      </c>
      <c r="M18">
        <v>21</v>
      </c>
      <c r="N18">
        <v>23</v>
      </c>
      <c r="O18">
        <v>8</v>
      </c>
      <c r="P18">
        <v>1</v>
      </c>
      <c r="Q18">
        <v>3</v>
      </c>
      <c r="R18">
        <v>2017</v>
      </c>
      <c r="S18">
        <v>9.1071428569999995</v>
      </c>
      <c r="T18">
        <v>19656</v>
      </c>
      <c r="U18">
        <v>69.900000000000006</v>
      </c>
      <c r="V18">
        <v>4.0999999999999996</v>
      </c>
      <c r="W18">
        <v>32.68</v>
      </c>
      <c r="X18">
        <v>69.900000000000006</v>
      </c>
      <c r="Y18">
        <v>4.0999999999999996</v>
      </c>
      <c r="Z18">
        <v>32.68</v>
      </c>
      <c r="AA18">
        <v>69.900000000000006</v>
      </c>
      <c r="AB18">
        <v>4.0999999999999996</v>
      </c>
      <c r="AC18">
        <v>32.68</v>
      </c>
      <c r="AD18">
        <v>69.849999999999994</v>
      </c>
      <c r="AE18">
        <f>Table1[[#This Row],[total_price]]/Table1[[#This Row],[qty]]</f>
        <v>69.899999999999991</v>
      </c>
      <c r="AF18" t="str">
        <f t="shared" si="0"/>
        <v/>
      </c>
      <c r="AG18">
        <f>IF(ROW()=2, "", AVERAGE(D$2:D17))</f>
        <v>8.9375</v>
      </c>
    </row>
    <row r="19" spans="1:33" x14ac:dyDescent="0.25">
      <c r="A19" t="s">
        <v>32</v>
      </c>
      <c r="B19" t="s">
        <v>33</v>
      </c>
      <c r="C19" s="1">
        <v>42739</v>
      </c>
      <c r="D19">
        <v>3</v>
      </c>
      <c r="E19">
        <v>247.9</v>
      </c>
      <c r="F19">
        <v>34.216666670000002</v>
      </c>
      <c r="G19">
        <v>82.633333329999999</v>
      </c>
      <c r="H19">
        <v>36</v>
      </c>
      <c r="I19">
        <v>450</v>
      </c>
      <c r="J19">
        <v>1</v>
      </c>
      <c r="K19">
        <v>9000</v>
      </c>
      <c r="L19">
        <v>4.0999999999999996</v>
      </c>
      <c r="M19">
        <v>17</v>
      </c>
      <c r="N19">
        <v>20</v>
      </c>
      <c r="O19">
        <v>10</v>
      </c>
      <c r="P19">
        <v>2</v>
      </c>
      <c r="Q19">
        <v>4</v>
      </c>
      <c r="R19">
        <v>2017</v>
      </c>
      <c r="S19">
        <v>7.6785714289999998</v>
      </c>
      <c r="T19">
        <v>19656</v>
      </c>
      <c r="U19">
        <v>82.633333329999999</v>
      </c>
      <c r="V19">
        <v>4.0999999999999996</v>
      </c>
      <c r="W19">
        <v>34.216666670000002</v>
      </c>
      <c r="X19">
        <v>82.633333329999999</v>
      </c>
      <c r="Y19">
        <v>4.0999999999999996</v>
      </c>
      <c r="Z19">
        <v>34.216666670000002</v>
      </c>
      <c r="AA19">
        <v>82.633333329999999</v>
      </c>
      <c r="AB19">
        <v>4.0999999999999996</v>
      </c>
      <c r="AC19">
        <v>34.216666670000002</v>
      </c>
      <c r="AD19">
        <v>69.900000000000006</v>
      </c>
      <c r="AE19">
        <f>Table1[[#This Row],[total_price]]/Table1[[#This Row],[qty]]</f>
        <v>82.63333333333334</v>
      </c>
      <c r="AF19">
        <f t="shared" si="0"/>
        <v>69.899999999999991</v>
      </c>
      <c r="AG19">
        <f>IF(ROW()=2, "", AVERAGE(D$2:D18))</f>
        <v>8.764705882352942</v>
      </c>
    </row>
    <row r="20" spans="1:33" x14ac:dyDescent="0.25">
      <c r="A20" t="s">
        <v>32</v>
      </c>
      <c r="B20" t="s">
        <v>33</v>
      </c>
      <c r="C20" s="1">
        <v>42740</v>
      </c>
      <c r="D20">
        <v>20</v>
      </c>
      <c r="E20">
        <v>1956</v>
      </c>
      <c r="F20">
        <v>39.897500000000001</v>
      </c>
      <c r="G20">
        <v>97.58823529</v>
      </c>
      <c r="H20">
        <v>36</v>
      </c>
      <c r="I20">
        <v>450</v>
      </c>
      <c r="J20">
        <v>1</v>
      </c>
      <c r="K20">
        <v>9000</v>
      </c>
      <c r="L20">
        <v>4.0999999999999996</v>
      </c>
      <c r="M20">
        <v>34</v>
      </c>
      <c r="N20">
        <v>23</v>
      </c>
      <c r="O20">
        <v>8</v>
      </c>
      <c r="P20">
        <v>1</v>
      </c>
      <c r="Q20">
        <v>5</v>
      </c>
      <c r="R20">
        <v>2017</v>
      </c>
      <c r="S20">
        <v>19.047619050000002</v>
      </c>
      <c r="T20">
        <v>19656</v>
      </c>
      <c r="U20">
        <v>59.9</v>
      </c>
      <c r="V20">
        <v>4.0999999999999996</v>
      </c>
      <c r="W20">
        <v>19.732500000000002</v>
      </c>
      <c r="X20">
        <v>59.9</v>
      </c>
      <c r="Y20">
        <v>4.2</v>
      </c>
      <c r="Z20">
        <v>26.24666667</v>
      </c>
      <c r="AA20">
        <v>97.58823529</v>
      </c>
      <c r="AB20">
        <v>4.0999999999999996</v>
      </c>
      <c r="AC20">
        <v>39.897500000000001</v>
      </c>
      <c r="AD20">
        <v>82.633333329999999</v>
      </c>
      <c r="AE20">
        <f>Table1[[#This Row],[total_price]]/Table1[[#This Row],[qty]]</f>
        <v>97.8</v>
      </c>
      <c r="AF20">
        <f t="shared" si="0"/>
        <v>82.63333333333334</v>
      </c>
      <c r="AG20">
        <f>IF(ROW()=2, "", AVERAGE(D$2:D19))</f>
        <v>8.4444444444444446</v>
      </c>
    </row>
    <row r="21" spans="1:33" x14ac:dyDescent="0.25">
      <c r="A21" t="s">
        <v>32</v>
      </c>
      <c r="B21" t="s">
        <v>33</v>
      </c>
      <c r="C21" s="1">
        <v>42741</v>
      </c>
      <c r="D21">
        <v>8</v>
      </c>
      <c r="E21">
        <v>712</v>
      </c>
      <c r="F21">
        <v>40.801250000000003</v>
      </c>
      <c r="G21">
        <v>89</v>
      </c>
      <c r="H21">
        <v>36</v>
      </c>
      <c r="I21">
        <v>450</v>
      </c>
      <c r="J21">
        <v>1</v>
      </c>
      <c r="K21">
        <v>9000</v>
      </c>
      <c r="L21">
        <v>4.0999999999999996</v>
      </c>
      <c r="M21">
        <v>26</v>
      </c>
      <c r="N21">
        <v>22</v>
      </c>
      <c r="O21">
        <v>8</v>
      </c>
      <c r="P21">
        <v>1</v>
      </c>
      <c r="Q21">
        <v>6</v>
      </c>
      <c r="R21">
        <v>2017</v>
      </c>
      <c r="S21">
        <v>7.6190476189999998</v>
      </c>
      <c r="T21">
        <v>19656</v>
      </c>
      <c r="U21">
        <v>59.9</v>
      </c>
      <c r="V21">
        <v>4.0999999999999996</v>
      </c>
      <c r="W21">
        <v>17.670000000000002</v>
      </c>
      <c r="X21">
        <v>59.9</v>
      </c>
      <c r="Y21">
        <v>4.2</v>
      </c>
      <c r="Z21">
        <v>16.260000000000002</v>
      </c>
      <c r="AA21">
        <v>89</v>
      </c>
      <c r="AB21">
        <v>4.0999999999999996</v>
      </c>
      <c r="AC21">
        <v>40.801250000000003</v>
      </c>
      <c r="AD21">
        <v>97.58823529</v>
      </c>
      <c r="AE21">
        <f>Table1[[#This Row],[total_price]]/Table1[[#This Row],[qty]]</f>
        <v>89</v>
      </c>
      <c r="AF21">
        <f t="shared" si="0"/>
        <v>97.8</v>
      </c>
      <c r="AG21">
        <f>IF(ROW()=2, "", AVERAGE(D$2:D20))</f>
        <v>9.0526315789473681</v>
      </c>
    </row>
    <row r="22" spans="1:33" x14ac:dyDescent="0.25">
      <c r="A22" t="s">
        <v>32</v>
      </c>
      <c r="B22" t="s">
        <v>33</v>
      </c>
      <c r="C22" s="1">
        <v>42742</v>
      </c>
      <c r="D22">
        <v>10</v>
      </c>
      <c r="E22">
        <v>890</v>
      </c>
      <c r="F22">
        <v>39.155999999999999</v>
      </c>
      <c r="G22">
        <v>89</v>
      </c>
      <c r="H22">
        <v>36</v>
      </c>
      <c r="I22">
        <v>450</v>
      </c>
      <c r="J22">
        <v>1</v>
      </c>
      <c r="K22">
        <v>9000</v>
      </c>
      <c r="L22">
        <v>4.0999999999999996</v>
      </c>
      <c r="M22">
        <v>74</v>
      </c>
      <c r="N22">
        <v>21</v>
      </c>
      <c r="O22">
        <v>10</v>
      </c>
      <c r="P22">
        <v>1</v>
      </c>
      <c r="Q22">
        <v>7</v>
      </c>
      <c r="R22">
        <v>2017</v>
      </c>
      <c r="S22">
        <v>9.5238095240000007</v>
      </c>
      <c r="T22">
        <v>19656</v>
      </c>
      <c r="U22">
        <v>59.9</v>
      </c>
      <c r="V22">
        <v>4.0999999999999996</v>
      </c>
      <c r="W22">
        <v>16.626428570000002</v>
      </c>
      <c r="X22">
        <v>59.9</v>
      </c>
      <c r="Y22">
        <v>4.2</v>
      </c>
      <c r="Z22">
        <v>16.111578949999998</v>
      </c>
      <c r="AA22">
        <v>59.9</v>
      </c>
      <c r="AB22">
        <v>4.0999999999999996</v>
      </c>
      <c r="AC22">
        <v>15.392307690000001</v>
      </c>
      <c r="AD22">
        <v>89</v>
      </c>
      <c r="AE22">
        <f>Table1[[#This Row],[total_price]]/Table1[[#This Row],[qty]]</f>
        <v>89</v>
      </c>
      <c r="AF22">
        <f t="shared" si="0"/>
        <v>89</v>
      </c>
      <c r="AG22">
        <f>IF(ROW()=2, "", AVERAGE(D$2:D21))</f>
        <v>9</v>
      </c>
    </row>
    <row r="23" spans="1:33" x14ac:dyDescent="0.25">
      <c r="A23" t="s">
        <v>32</v>
      </c>
      <c r="B23" t="s">
        <v>33</v>
      </c>
      <c r="C23" s="1">
        <v>42743</v>
      </c>
      <c r="D23">
        <v>7</v>
      </c>
      <c r="E23">
        <v>683</v>
      </c>
      <c r="F23">
        <v>39.5</v>
      </c>
      <c r="G23">
        <v>97.333333330000002</v>
      </c>
      <c r="H23">
        <v>36</v>
      </c>
      <c r="I23">
        <v>450</v>
      </c>
      <c r="J23">
        <v>1</v>
      </c>
      <c r="K23">
        <v>9000</v>
      </c>
      <c r="L23">
        <v>4.0999999999999996</v>
      </c>
      <c r="M23">
        <v>113</v>
      </c>
      <c r="N23">
        <v>23</v>
      </c>
      <c r="O23">
        <v>8</v>
      </c>
      <c r="P23">
        <v>1</v>
      </c>
      <c r="Q23">
        <v>8</v>
      </c>
      <c r="R23">
        <v>2017</v>
      </c>
      <c r="S23">
        <v>6.6666666670000003</v>
      </c>
      <c r="T23">
        <v>19656</v>
      </c>
      <c r="U23">
        <v>59.9</v>
      </c>
      <c r="V23">
        <v>4.0999999999999996</v>
      </c>
      <c r="W23">
        <v>18.162307689999999</v>
      </c>
      <c r="X23">
        <v>59.9</v>
      </c>
      <c r="Y23">
        <v>4.2</v>
      </c>
      <c r="Z23">
        <v>17.68111111</v>
      </c>
      <c r="AA23">
        <v>59.9</v>
      </c>
      <c r="AB23">
        <v>4.0999999999999996</v>
      </c>
      <c r="AC23">
        <v>18.05043478</v>
      </c>
      <c r="AD23">
        <v>89</v>
      </c>
      <c r="AE23">
        <f>Table1[[#This Row],[total_price]]/Table1[[#This Row],[qty]]</f>
        <v>97.571428571428569</v>
      </c>
      <c r="AF23">
        <f t="shared" si="0"/>
        <v>89</v>
      </c>
      <c r="AG23">
        <f>IF(ROW()=2, "", AVERAGE(D$2:D22))</f>
        <v>9.0476190476190474</v>
      </c>
    </row>
    <row r="24" spans="1:33" x14ac:dyDescent="0.25">
      <c r="A24" t="s">
        <v>32</v>
      </c>
      <c r="B24" t="s">
        <v>33</v>
      </c>
      <c r="C24" s="1">
        <v>42744</v>
      </c>
      <c r="D24">
        <v>9</v>
      </c>
      <c r="E24">
        <v>891</v>
      </c>
      <c r="F24">
        <v>39.018888889999999</v>
      </c>
      <c r="G24">
        <v>99</v>
      </c>
      <c r="H24">
        <v>36</v>
      </c>
      <c r="I24">
        <v>450</v>
      </c>
      <c r="J24">
        <v>1</v>
      </c>
      <c r="K24">
        <v>9000</v>
      </c>
      <c r="L24">
        <v>4.0999999999999996</v>
      </c>
      <c r="M24">
        <v>115</v>
      </c>
      <c r="N24">
        <v>21</v>
      </c>
      <c r="O24">
        <v>9</v>
      </c>
      <c r="P24">
        <v>1</v>
      </c>
      <c r="Q24">
        <v>9</v>
      </c>
      <c r="R24">
        <v>2017</v>
      </c>
      <c r="S24">
        <v>8.5714285710000002</v>
      </c>
      <c r="T24">
        <v>19656</v>
      </c>
      <c r="U24">
        <v>59.9</v>
      </c>
      <c r="V24">
        <v>4.0999999999999996</v>
      </c>
      <c r="W24">
        <v>17.187027029999999</v>
      </c>
      <c r="X24">
        <v>59.9</v>
      </c>
      <c r="Y24">
        <v>4.2</v>
      </c>
      <c r="Z24">
        <v>16.811764709999999</v>
      </c>
      <c r="AA24">
        <v>59.9</v>
      </c>
      <c r="AB24">
        <v>4.0999999999999996</v>
      </c>
      <c r="AC24">
        <v>16.29461538</v>
      </c>
      <c r="AD24">
        <v>97.333333330000002</v>
      </c>
      <c r="AE24">
        <f>Table1[[#This Row],[total_price]]/Table1[[#This Row],[qty]]</f>
        <v>99</v>
      </c>
      <c r="AF24">
        <f t="shared" si="0"/>
        <v>97.571428571428569</v>
      </c>
      <c r="AG24">
        <f>IF(ROW()=2, "", AVERAGE(D$2:D23))</f>
        <v>8.954545454545455</v>
      </c>
    </row>
    <row r="25" spans="1:33" x14ac:dyDescent="0.25">
      <c r="A25" t="s">
        <v>32</v>
      </c>
      <c r="B25" t="s">
        <v>33</v>
      </c>
      <c r="C25" s="1">
        <v>42745</v>
      </c>
      <c r="D25">
        <v>14</v>
      </c>
      <c r="E25">
        <v>1386</v>
      </c>
      <c r="F25">
        <v>45.77642857</v>
      </c>
      <c r="G25">
        <v>99</v>
      </c>
      <c r="H25">
        <v>36</v>
      </c>
      <c r="I25">
        <v>450</v>
      </c>
      <c r="J25">
        <v>1</v>
      </c>
      <c r="K25">
        <v>9000</v>
      </c>
      <c r="L25">
        <v>4.0999999999999996</v>
      </c>
      <c r="M25">
        <v>146</v>
      </c>
      <c r="N25">
        <v>22</v>
      </c>
      <c r="O25">
        <v>9</v>
      </c>
      <c r="P25">
        <v>2</v>
      </c>
      <c r="Q25">
        <v>10</v>
      </c>
      <c r="R25">
        <v>2017</v>
      </c>
      <c r="S25">
        <v>13.33333333</v>
      </c>
      <c r="T25">
        <v>19656</v>
      </c>
      <c r="U25">
        <v>59.9</v>
      </c>
      <c r="V25">
        <v>4.0999999999999996</v>
      </c>
      <c r="W25">
        <v>18.065897440000001</v>
      </c>
      <c r="X25">
        <v>59.9</v>
      </c>
      <c r="Y25">
        <v>4.2</v>
      </c>
      <c r="Z25">
        <v>17.595483869999999</v>
      </c>
      <c r="AA25">
        <v>59.9</v>
      </c>
      <c r="AB25">
        <v>4.0999999999999996</v>
      </c>
      <c r="AC25">
        <v>16.814166669999999</v>
      </c>
      <c r="AD25">
        <v>99</v>
      </c>
      <c r="AE25">
        <f>Table1[[#This Row],[total_price]]/Table1[[#This Row],[qty]]</f>
        <v>99</v>
      </c>
      <c r="AF25">
        <f t="shared" si="0"/>
        <v>99</v>
      </c>
      <c r="AG25">
        <f>IF(ROW()=2, "", AVERAGE(D$2:D24))</f>
        <v>8.9565217391304355</v>
      </c>
    </row>
    <row r="26" spans="1:33" x14ac:dyDescent="0.25">
      <c r="A26" t="s">
        <v>32</v>
      </c>
      <c r="B26" t="s">
        <v>33</v>
      </c>
      <c r="C26" s="1">
        <v>42746</v>
      </c>
      <c r="D26">
        <v>17</v>
      </c>
      <c r="E26">
        <v>1683</v>
      </c>
      <c r="F26">
        <v>32.863529409999998</v>
      </c>
      <c r="G26">
        <v>99</v>
      </c>
      <c r="H26">
        <v>36</v>
      </c>
      <c r="I26">
        <v>450</v>
      </c>
      <c r="J26">
        <v>1</v>
      </c>
      <c r="K26">
        <v>9000</v>
      </c>
      <c r="L26">
        <v>4.0999999999999996</v>
      </c>
      <c r="M26">
        <v>339</v>
      </c>
      <c r="N26">
        <v>22</v>
      </c>
      <c r="O26">
        <v>8</v>
      </c>
      <c r="P26">
        <v>4</v>
      </c>
      <c r="Q26">
        <v>11</v>
      </c>
      <c r="R26">
        <v>2017</v>
      </c>
      <c r="S26">
        <v>16.190476189999998</v>
      </c>
      <c r="T26">
        <v>19656</v>
      </c>
      <c r="U26">
        <v>52.406944439999997</v>
      </c>
      <c r="V26">
        <v>4.0999999999999996</v>
      </c>
      <c r="W26">
        <v>17.06747253</v>
      </c>
      <c r="X26">
        <v>53.648281249999997</v>
      </c>
      <c r="Y26">
        <v>4.2</v>
      </c>
      <c r="Z26">
        <v>16.075862069999999</v>
      </c>
      <c r="AA26">
        <v>53.785714290000001</v>
      </c>
      <c r="AB26">
        <v>4.0999999999999996</v>
      </c>
      <c r="AC26">
        <v>18.27550725</v>
      </c>
      <c r="AD26">
        <v>99</v>
      </c>
      <c r="AE26">
        <f>Table1[[#This Row],[total_price]]/Table1[[#This Row],[qty]]</f>
        <v>99</v>
      </c>
      <c r="AF26">
        <f t="shared" si="0"/>
        <v>99</v>
      </c>
      <c r="AG26">
        <f>IF(ROW()=2, "", AVERAGE(D$2:D25))</f>
        <v>9.1666666666666661</v>
      </c>
    </row>
    <row r="27" spans="1:33" x14ac:dyDescent="0.25">
      <c r="A27" t="s">
        <v>32</v>
      </c>
      <c r="B27" t="s">
        <v>33</v>
      </c>
      <c r="C27" s="1">
        <v>42747</v>
      </c>
      <c r="D27">
        <v>11</v>
      </c>
      <c r="E27">
        <v>1089</v>
      </c>
      <c r="F27">
        <v>38.05545455</v>
      </c>
      <c r="G27">
        <v>99</v>
      </c>
      <c r="H27">
        <v>36</v>
      </c>
      <c r="I27">
        <v>450</v>
      </c>
      <c r="J27">
        <v>1</v>
      </c>
      <c r="K27">
        <v>9000</v>
      </c>
      <c r="L27">
        <v>4.0999999999999996</v>
      </c>
      <c r="M27">
        <v>184</v>
      </c>
      <c r="N27">
        <v>21</v>
      </c>
      <c r="O27">
        <v>10</v>
      </c>
      <c r="P27">
        <v>1</v>
      </c>
      <c r="Q27">
        <v>12</v>
      </c>
      <c r="R27">
        <v>2017</v>
      </c>
      <c r="S27">
        <v>10.47619048</v>
      </c>
      <c r="T27">
        <v>19656</v>
      </c>
      <c r="U27">
        <v>55.1</v>
      </c>
      <c r="V27">
        <v>4.0999999999999996</v>
      </c>
      <c r="W27">
        <v>15.759607839999999</v>
      </c>
      <c r="X27">
        <v>55.424999999999997</v>
      </c>
      <c r="Y27">
        <v>4.2</v>
      </c>
      <c r="Z27">
        <v>19.184374999999999</v>
      </c>
      <c r="AA27">
        <v>55.75</v>
      </c>
      <c r="AB27">
        <v>4.0999999999999996</v>
      </c>
      <c r="AC27">
        <v>17.267272729999998</v>
      </c>
      <c r="AD27">
        <v>99</v>
      </c>
      <c r="AE27">
        <f>Table1[[#This Row],[total_price]]/Table1[[#This Row],[qty]]</f>
        <v>99</v>
      </c>
      <c r="AF27">
        <f t="shared" si="0"/>
        <v>99</v>
      </c>
      <c r="AG27">
        <f>IF(ROW()=2, "", AVERAGE(D$2:D26))</f>
        <v>9.48</v>
      </c>
    </row>
    <row r="28" spans="1:33" x14ac:dyDescent="0.25">
      <c r="A28" t="s">
        <v>32</v>
      </c>
      <c r="B28" t="s">
        <v>33</v>
      </c>
      <c r="C28" s="1">
        <v>43101</v>
      </c>
      <c r="D28">
        <v>4</v>
      </c>
      <c r="E28">
        <v>398</v>
      </c>
      <c r="F28">
        <v>41.54</v>
      </c>
      <c r="G28">
        <v>99.5</v>
      </c>
      <c r="H28">
        <v>36</v>
      </c>
      <c r="I28">
        <v>450</v>
      </c>
      <c r="J28">
        <v>1</v>
      </c>
      <c r="K28">
        <v>9000</v>
      </c>
      <c r="L28">
        <v>4.0999999999999996</v>
      </c>
      <c r="M28">
        <v>137</v>
      </c>
      <c r="N28">
        <v>23</v>
      </c>
      <c r="O28">
        <v>8</v>
      </c>
      <c r="P28">
        <v>2</v>
      </c>
      <c r="Q28">
        <v>1</v>
      </c>
      <c r="R28">
        <v>2018</v>
      </c>
      <c r="S28">
        <v>50</v>
      </c>
      <c r="T28">
        <v>19656</v>
      </c>
      <c r="U28">
        <v>49.9</v>
      </c>
      <c r="V28">
        <v>4.0999999999999996</v>
      </c>
      <c r="W28">
        <v>19.495000000000001</v>
      </c>
      <c r="X28">
        <v>49.9</v>
      </c>
      <c r="Y28">
        <v>4.2</v>
      </c>
      <c r="Z28">
        <v>15.841034479999999</v>
      </c>
      <c r="AA28">
        <v>49.9</v>
      </c>
      <c r="AB28">
        <v>4.0999999999999996</v>
      </c>
      <c r="AC28">
        <v>16.505128209999999</v>
      </c>
      <c r="AD28">
        <v>99</v>
      </c>
      <c r="AE28">
        <f>Table1[[#This Row],[total_price]]/Table1[[#This Row],[qty]]</f>
        <v>99.5</v>
      </c>
      <c r="AF28">
        <f t="shared" si="0"/>
        <v>99</v>
      </c>
      <c r="AG28">
        <f>IF(ROW()=2, "", AVERAGE(D$2:D27))</f>
        <v>9.5384615384615383</v>
      </c>
    </row>
    <row r="29" spans="1:33" x14ac:dyDescent="0.25">
      <c r="A29" t="s">
        <v>32</v>
      </c>
      <c r="B29" t="s">
        <v>33</v>
      </c>
      <c r="C29" s="1">
        <v>43102</v>
      </c>
      <c r="D29">
        <v>2</v>
      </c>
      <c r="E29">
        <v>202</v>
      </c>
      <c r="F29">
        <v>43.555</v>
      </c>
      <c r="G29">
        <v>101</v>
      </c>
      <c r="H29">
        <v>36</v>
      </c>
      <c r="I29">
        <v>450</v>
      </c>
      <c r="J29">
        <v>1</v>
      </c>
      <c r="K29">
        <v>9000</v>
      </c>
      <c r="L29">
        <v>4.0999999999999996</v>
      </c>
      <c r="M29">
        <v>160</v>
      </c>
      <c r="N29">
        <v>20</v>
      </c>
      <c r="O29">
        <v>8</v>
      </c>
      <c r="P29">
        <v>2</v>
      </c>
      <c r="Q29">
        <v>2</v>
      </c>
      <c r="R29">
        <v>2018</v>
      </c>
      <c r="S29">
        <v>25</v>
      </c>
      <c r="T29">
        <v>19656</v>
      </c>
      <c r="U29">
        <v>50.545161290000003</v>
      </c>
      <c r="V29">
        <v>4.0999999999999996</v>
      </c>
      <c r="W29">
        <v>16.611538459999998</v>
      </c>
      <c r="X29">
        <v>50.9</v>
      </c>
      <c r="Y29">
        <v>4.2</v>
      </c>
      <c r="Z29">
        <v>17.519444440000001</v>
      </c>
      <c r="AA29">
        <v>50.357142860000003</v>
      </c>
      <c r="AB29">
        <v>4.0999999999999996</v>
      </c>
      <c r="AC29">
        <v>18.281874999999999</v>
      </c>
      <c r="AD29">
        <v>99.5</v>
      </c>
      <c r="AE29">
        <f>Table1[[#This Row],[total_price]]/Table1[[#This Row],[qty]]</f>
        <v>101</v>
      </c>
      <c r="AF29">
        <f t="shared" si="0"/>
        <v>99.5</v>
      </c>
      <c r="AG29">
        <f>IF(ROW()=2, "", AVERAGE(D$2:D28))</f>
        <v>9.3333333333333339</v>
      </c>
    </row>
    <row r="30" spans="1:33" x14ac:dyDescent="0.25">
      <c r="A30" t="s">
        <v>32</v>
      </c>
      <c r="B30" t="s">
        <v>33</v>
      </c>
      <c r="C30" s="1">
        <v>43103</v>
      </c>
      <c r="D30">
        <v>1</v>
      </c>
      <c r="E30">
        <v>101</v>
      </c>
      <c r="F30">
        <v>67.02</v>
      </c>
      <c r="G30">
        <v>101</v>
      </c>
      <c r="H30">
        <v>36</v>
      </c>
      <c r="I30">
        <v>450</v>
      </c>
      <c r="J30">
        <v>1</v>
      </c>
      <c r="K30">
        <v>9000</v>
      </c>
      <c r="L30">
        <v>4.0999999999999996</v>
      </c>
      <c r="M30">
        <v>116</v>
      </c>
      <c r="N30">
        <v>22</v>
      </c>
      <c r="O30">
        <v>9</v>
      </c>
      <c r="P30">
        <v>1</v>
      </c>
      <c r="Q30">
        <v>3</v>
      </c>
      <c r="R30">
        <v>2018</v>
      </c>
      <c r="S30">
        <v>9.1071428569999995</v>
      </c>
      <c r="T30">
        <v>19656</v>
      </c>
      <c r="U30">
        <v>53.9</v>
      </c>
      <c r="V30">
        <v>4.0999999999999996</v>
      </c>
      <c r="W30">
        <v>20.359677420000001</v>
      </c>
      <c r="X30">
        <v>53.9</v>
      </c>
      <c r="Y30">
        <v>4.2</v>
      </c>
      <c r="Z30">
        <v>21.852857140000001</v>
      </c>
      <c r="AA30">
        <v>53.9</v>
      </c>
      <c r="AB30">
        <v>4.0999999999999996</v>
      </c>
      <c r="AC30">
        <v>19.024230769999999</v>
      </c>
      <c r="AD30">
        <v>101</v>
      </c>
      <c r="AE30">
        <f>Table1[[#This Row],[total_price]]/Table1[[#This Row],[qty]]</f>
        <v>101</v>
      </c>
      <c r="AF30">
        <f t="shared" si="0"/>
        <v>101</v>
      </c>
      <c r="AG30">
        <f>IF(ROW()=2, "", AVERAGE(D$2:D29))</f>
        <v>9.0714285714285712</v>
      </c>
    </row>
    <row r="31" spans="1:33" x14ac:dyDescent="0.25">
      <c r="A31" t="s">
        <v>32</v>
      </c>
      <c r="B31" t="s">
        <v>33</v>
      </c>
      <c r="C31" s="1">
        <v>43104</v>
      </c>
      <c r="D31">
        <v>1</v>
      </c>
      <c r="E31">
        <v>101</v>
      </c>
      <c r="F31">
        <v>79.760000000000005</v>
      </c>
      <c r="G31">
        <v>101</v>
      </c>
      <c r="H31">
        <v>36</v>
      </c>
      <c r="I31">
        <v>450</v>
      </c>
      <c r="J31">
        <v>1</v>
      </c>
      <c r="K31">
        <v>9000</v>
      </c>
      <c r="L31">
        <v>4.0999999999999996</v>
      </c>
      <c r="M31">
        <v>111</v>
      </c>
      <c r="N31">
        <v>21</v>
      </c>
      <c r="O31">
        <v>9</v>
      </c>
      <c r="P31">
        <v>1</v>
      </c>
      <c r="Q31">
        <v>4</v>
      </c>
      <c r="R31">
        <v>2018</v>
      </c>
      <c r="S31">
        <v>7.6785714289999998</v>
      </c>
      <c r="T31">
        <v>19656</v>
      </c>
      <c r="U31">
        <v>53.9</v>
      </c>
      <c r="V31">
        <v>4.0999999999999996</v>
      </c>
      <c r="W31">
        <v>5.2817391300000001</v>
      </c>
      <c r="X31">
        <v>53.9</v>
      </c>
      <c r="Y31">
        <v>4.2</v>
      </c>
      <c r="Z31">
        <v>19.46846154</v>
      </c>
      <c r="AA31">
        <v>53.9</v>
      </c>
      <c r="AB31">
        <v>4.0999999999999996</v>
      </c>
      <c r="AC31">
        <v>19.071428569999998</v>
      </c>
      <c r="AD31">
        <v>101</v>
      </c>
      <c r="AE31">
        <f>Table1[[#This Row],[total_price]]/Table1[[#This Row],[qty]]</f>
        <v>101</v>
      </c>
      <c r="AF31">
        <f t="shared" si="0"/>
        <v>101</v>
      </c>
      <c r="AG31">
        <f>IF(ROW()=2, "", AVERAGE(D$2:D30))</f>
        <v>8.7931034482758612</v>
      </c>
    </row>
    <row r="32" spans="1:33" x14ac:dyDescent="0.25">
      <c r="A32" t="s">
        <v>34</v>
      </c>
      <c r="B32" t="s">
        <v>35</v>
      </c>
      <c r="C32" s="1">
        <v>42742</v>
      </c>
      <c r="D32">
        <v>13</v>
      </c>
      <c r="E32">
        <v>258.7</v>
      </c>
      <c r="F32">
        <v>13.47307692</v>
      </c>
      <c r="G32">
        <v>19.899999999999999</v>
      </c>
      <c r="H32">
        <v>49</v>
      </c>
      <c r="I32">
        <v>100</v>
      </c>
      <c r="J32">
        <v>4</v>
      </c>
      <c r="K32">
        <v>150</v>
      </c>
      <c r="L32">
        <v>4.2</v>
      </c>
      <c r="M32">
        <v>13</v>
      </c>
      <c r="N32">
        <v>21</v>
      </c>
      <c r="O32">
        <v>10</v>
      </c>
      <c r="P32">
        <v>1</v>
      </c>
      <c r="Q32">
        <v>7</v>
      </c>
      <c r="R32">
        <v>2017</v>
      </c>
      <c r="S32">
        <v>7.59180791</v>
      </c>
      <c r="T32">
        <v>2304</v>
      </c>
      <c r="U32">
        <v>19.899999999999999</v>
      </c>
      <c r="V32">
        <v>4.2</v>
      </c>
      <c r="W32">
        <v>13.47307692</v>
      </c>
      <c r="X32">
        <v>19.899999999999999</v>
      </c>
      <c r="Y32">
        <v>3.9</v>
      </c>
      <c r="Z32">
        <v>11.85</v>
      </c>
      <c r="AA32">
        <v>19.899999999999999</v>
      </c>
      <c r="AB32">
        <v>4.2</v>
      </c>
      <c r="AC32">
        <v>13.47307692</v>
      </c>
      <c r="AD32">
        <v>19.850000000000001</v>
      </c>
      <c r="AE32">
        <f>Table1[[#This Row],[total_price]]/Table1[[#This Row],[qty]]</f>
        <v>19.899999999999999</v>
      </c>
      <c r="AF32" t="str">
        <f t="shared" si="0"/>
        <v/>
      </c>
      <c r="AG32">
        <f>IF(ROW()=2, "", AVERAGE(D$2:D31))</f>
        <v>8.5333333333333332</v>
      </c>
    </row>
    <row r="33" spans="1:33" x14ac:dyDescent="0.25">
      <c r="A33" t="s">
        <v>34</v>
      </c>
      <c r="B33" t="s">
        <v>35</v>
      </c>
      <c r="C33" s="1">
        <v>42743</v>
      </c>
      <c r="D33">
        <v>24</v>
      </c>
      <c r="E33">
        <v>477.6</v>
      </c>
      <c r="F33">
        <v>16.16375</v>
      </c>
      <c r="G33">
        <v>19.899999999999999</v>
      </c>
      <c r="H33">
        <v>49</v>
      </c>
      <c r="I33">
        <v>100</v>
      </c>
      <c r="J33">
        <v>4</v>
      </c>
      <c r="K33">
        <v>150</v>
      </c>
      <c r="L33">
        <v>4.2</v>
      </c>
      <c r="M33">
        <v>33</v>
      </c>
      <c r="N33">
        <v>23</v>
      </c>
      <c r="O33">
        <v>8</v>
      </c>
      <c r="P33">
        <v>1</v>
      </c>
      <c r="Q33">
        <v>8</v>
      </c>
      <c r="R33">
        <v>2017</v>
      </c>
      <c r="S33">
        <v>20.33898305</v>
      </c>
      <c r="T33">
        <v>2304</v>
      </c>
      <c r="U33">
        <v>19.899999999999999</v>
      </c>
      <c r="V33">
        <v>4.2</v>
      </c>
      <c r="W33">
        <v>16.16375</v>
      </c>
      <c r="X33">
        <v>19.899999999999999</v>
      </c>
      <c r="Y33">
        <v>3.9</v>
      </c>
      <c r="Z33">
        <v>15.832727269999999</v>
      </c>
      <c r="AA33">
        <v>19.899999999999999</v>
      </c>
      <c r="AB33">
        <v>4.2</v>
      </c>
      <c r="AC33">
        <v>16.16375</v>
      </c>
      <c r="AD33">
        <v>19.899999999999999</v>
      </c>
      <c r="AE33">
        <f>Table1[[#This Row],[total_price]]/Table1[[#This Row],[qty]]</f>
        <v>19.900000000000002</v>
      </c>
      <c r="AF33">
        <f t="shared" si="0"/>
        <v>19.899999999999999</v>
      </c>
      <c r="AG33">
        <f>IF(ROW()=2, "", AVERAGE(D$2:D32))</f>
        <v>8.67741935483871</v>
      </c>
    </row>
    <row r="34" spans="1:33" x14ac:dyDescent="0.25">
      <c r="A34" t="s">
        <v>34</v>
      </c>
      <c r="B34" t="s">
        <v>35</v>
      </c>
      <c r="C34" s="1">
        <v>42744</v>
      </c>
      <c r="D34">
        <v>9</v>
      </c>
      <c r="E34">
        <v>179.1</v>
      </c>
      <c r="F34">
        <v>16.133333329999999</v>
      </c>
      <c r="G34">
        <v>19.899999999999999</v>
      </c>
      <c r="H34">
        <v>49</v>
      </c>
      <c r="I34">
        <v>100</v>
      </c>
      <c r="J34">
        <v>4</v>
      </c>
      <c r="K34">
        <v>150</v>
      </c>
      <c r="L34">
        <v>4.2</v>
      </c>
      <c r="M34">
        <v>17</v>
      </c>
      <c r="N34">
        <v>21</v>
      </c>
      <c r="O34">
        <v>9</v>
      </c>
      <c r="P34">
        <v>1</v>
      </c>
      <c r="Q34">
        <v>9</v>
      </c>
      <c r="R34">
        <v>2017</v>
      </c>
      <c r="S34">
        <v>7.6271186440000003</v>
      </c>
      <c r="T34">
        <v>2304</v>
      </c>
      <c r="U34">
        <v>19.899999999999999</v>
      </c>
      <c r="V34">
        <v>4.2</v>
      </c>
      <c r="W34">
        <v>16.133333329999999</v>
      </c>
      <c r="X34">
        <v>19.899999999999999</v>
      </c>
      <c r="Y34">
        <v>3.9</v>
      </c>
      <c r="Z34">
        <v>15.41111111</v>
      </c>
      <c r="AA34">
        <v>19.899999999999999</v>
      </c>
      <c r="AB34">
        <v>4.2</v>
      </c>
      <c r="AC34">
        <v>16.133333329999999</v>
      </c>
      <c r="AD34">
        <v>19.899999999999999</v>
      </c>
      <c r="AE34">
        <f>Table1[[#This Row],[total_price]]/Table1[[#This Row],[qty]]</f>
        <v>19.899999999999999</v>
      </c>
      <c r="AF34">
        <f t="shared" si="0"/>
        <v>19.900000000000002</v>
      </c>
      <c r="AG34">
        <f>IF(ROW()=2, "", AVERAGE(D$2:D33))</f>
        <v>9.15625</v>
      </c>
    </row>
    <row r="35" spans="1:33" x14ac:dyDescent="0.25">
      <c r="A35" t="s">
        <v>34</v>
      </c>
      <c r="B35" t="s">
        <v>35</v>
      </c>
      <c r="C35" s="1">
        <v>42745</v>
      </c>
      <c r="D35">
        <v>28</v>
      </c>
      <c r="E35">
        <v>603.20000000000005</v>
      </c>
      <c r="F35">
        <v>13.534285710000001</v>
      </c>
      <c r="G35">
        <v>21.542857139999999</v>
      </c>
      <c r="H35">
        <v>49</v>
      </c>
      <c r="I35">
        <v>100</v>
      </c>
      <c r="J35">
        <v>4</v>
      </c>
      <c r="K35">
        <v>150</v>
      </c>
      <c r="L35">
        <v>4.2</v>
      </c>
      <c r="M35">
        <v>38</v>
      </c>
      <c r="N35">
        <v>22</v>
      </c>
      <c r="O35">
        <v>9</v>
      </c>
      <c r="P35">
        <v>2</v>
      </c>
      <c r="Q35">
        <v>10</v>
      </c>
      <c r="R35">
        <v>2017</v>
      </c>
      <c r="S35">
        <v>23.728813559999999</v>
      </c>
      <c r="T35">
        <v>2304</v>
      </c>
      <c r="U35">
        <v>21.542857139999999</v>
      </c>
      <c r="V35">
        <v>4.2</v>
      </c>
      <c r="W35">
        <v>13.534285710000001</v>
      </c>
      <c r="X35">
        <v>20.666666670000001</v>
      </c>
      <c r="Y35">
        <v>3.9</v>
      </c>
      <c r="Z35">
        <v>12.803333329999999</v>
      </c>
      <c r="AA35">
        <v>21.542857139999999</v>
      </c>
      <c r="AB35">
        <v>4.2</v>
      </c>
      <c r="AC35">
        <v>13.534285710000001</v>
      </c>
      <c r="AD35">
        <v>19.899999999999999</v>
      </c>
      <c r="AE35">
        <f>Table1[[#This Row],[total_price]]/Table1[[#This Row],[qty]]</f>
        <v>21.542857142857144</v>
      </c>
      <c r="AF35">
        <f t="shared" si="0"/>
        <v>19.899999999999999</v>
      </c>
      <c r="AG35">
        <f>IF(ROW()=2, "", AVERAGE(D$2:D34))</f>
        <v>9.1515151515151523</v>
      </c>
    </row>
    <row r="36" spans="1:33" x14ac:dyDescent="0.25">
      <c r="A36" t="s">
        <v>34</v>
      </c>
      <c r="B36" t="s">
        <v>35</v>
      </c>
      <c r="C36" s="1">
        <v>42746</v>
      </c>
      <c r="D36">
        <v>28</v>
      </c>
      <c r="E36">
        <v>686</v>
      </c>
      <c r="F36">
        <v>13.64535714</v>
      </c>
      <c r="G36">
        <v>24.5</v>
      </c>
      <c r="H36">
        <v>49</v>
      </c>
      <c r="I36">
        <v>100</v>
      </c>
      <c r="J36">
        <v>4</v>
      </c>
      <c r="K36">
        <v>150</v>
      </c>
      <c r="L36">
        <v>4.2</v>
      </c>
      <c r="M36">
        <v>49</v>
      </c>
      <c r="N36">
        <v>22</v>
      </c>
      <c r="O36">
        <v>8</v>
      </c>
      <c r="P36">
        <v>4</v>
      </c>
      <c r="Q36">
        <v>11</v>
      </c>
      <c r="R36">
        <v>2017</v>
      </c>
      <c r="S36">
        <v>23.728813559999999</v>
      </c>
      <c r="T36">
        <v>2304</v>
      </c>
      <c r="U36">
        <v>24.5</v>
      </c>
      <c r="V36">
        <v>4.2</v>
      </c>
      <c r="W36">
        <v>13.64535714</v>
      </c>
      <c r="X36">
        <v>24.5</v>
      </c>
      <c r="Y36">
        <v>3.9</v>
      </c>
      <c r="Z36">
        <v>13.65217391</v>
      </c>
      <c r="AA36">
        <v>24.5</v>
      </c>
      <c r="AB36">
        <v>4.2</v>
      </c>
      <c r="AC36">
        <v>13.64535714</v>
      </c>
      <c r="AD36">
        <v>21.542857139999999</v>
      </c>
      <c r="AE36">
        <f>Table1[[#This Row],[total_price]]/Table1[[#This Row],[qty]]</f>
        <v>24.5</v>
      </c>
      <c r="AF36">
        <f t="shared" si="0"/>
        <v>21.542857142857144</v>
      </c>
      <c r="AG36">
        <f>IF(ROW()=2, "", AVERAGE(D$2:D35))</f>
        <v>9.7058823529411757</v>
      </c>
    </row>
    <row r="37" spans="1:33" x14ac:dyDescent="0.25">
      <c r="A37" t="s">
        <v>34</v>
      </c>
      <c r="B37" t="s">
        <v>35</v>
      </c>
      <c r="C37" s="1">
        <v>42747</v>
      </c>
      <c r="D37">
        <v>16</v>
      </c>
      <c r="E37">
        <v>392</v>
      </c>
      <c r="F37">
        <v>12.873749999999999</v>
      </c>
      <c r="G37">
        <v>24.5</v>
      </c>
      <c r="H37">
        <v>49</v>
      </c>
      <c r="I37">
        <v>100</v>
      </c>
      <c r="J37">
        <v>4</v>
      </c>
      <c r="K37">
        <v>150</v>
      </c>
      <c r="L37">
        <v>4.2</v>
      </c>
      <c r="M37">
        <v>30</v>
      </c>
      <c r="N37">
        <v>21</v>
      </c>
      <c r="O37">
        <v>10</v>
      </c>
      <c r="P37">
        <v>1</v>
      </c>
      <c r="Q37">
        <v>12</v>
      </c>
      <c r="R37">
        <v>2017</v>
      </c>
      <c r="S37">
        <v>13.559322030000001</v>
      </c>
      <c r="T37">
        <v>2304</v>
      </c>
      <c r="U37">
        <v>24.5</v>
      </c>
      <c r="V37">
        <v>4.2</v>
      </c>
      <c r="W37">
        <v>12.873749999999999</v>
      </c>
      <c r="X37">
        <v>24.5</v>
      </c>
      <c r="Y37">
        <v>3.9</v>
      </c>
      <c r="Z37">
        <v>13.524705880000001</v>
      </c>
      <c r="AA37">
        <v>24.5</v>
      </c>
      <c r="AB37">
        <v>4.2</v>
      </c>
      <c r="AC37">
        <v>12.873749999999999</v>
      </c>
      <c r="AD37">
        <v>24.5</v>
      </c>
      <c r="AE37">
        <f>Table1[[#This Row],[total_price]]/Table1[[#This Row],[qty]]</f>
        <v>24.5</v>
      </c>
      <c r="AF37">
        <f t="shared" si="0"/>
        <v>24.5</v>
      </c>
      <c r="AG37">
        <f>IF(ROW()=2, "", AVERAGE(D$2:D36))</f>
        <v>10.228571428571428</v>
      </c>
    </row>
    <row r="38" spans="1:33" x14ac:dyDescent="0.25">
      <c r="A38" t="s">
        <v>34</v>
      </c>
      <c r="B38" t="s">
        <v>35</v>
      </c>
      <c r="C38" s="1">
        <v>43102</v>
      </c>
      <c r="D38">
        <v>5</v>
      </c>
      <c r="E38">
        <v>162.5</v>
      </c>
      <c r="F38">
        <v>15.256</v>
      </c>
      <c r="G38">
        <v>32.5</v>
      </c>
      <c r="H38">
        <v>49</v>
      </c>
      <c r="I38">
        <v>100</v>
      </c>
      <c r="J38">
        <v>4</v>
      </c>
      <c r="K38">
        <v>150</v>
      </c>
      <c r="L38">
        <v>4.2</v>
      </c>
      <c r="M38">
        <v>6</v>
      </c>
      <c r="N38">
        <v>20</v>
      </c>
      <c r="O38">
        <v>8</v>
      </c>
      <c r="P38">
        <v>2</v>
      </c>
      <c r="Q38">
        <v>2</v>
      </c>
      <c r="R38">
        <v>2018</v>
      </c>
      <c r="S38">
        <v>20.833333329999999</v>
      </c>
      <c r="T38">
        <v>2304</v>
      </c>
      <c r="U38">
        <v>32.5</v>
      </c>
      <c r="V38">
        <v>4.2</v>
      </c>
      <c r="W38">
        <v>15.256</v>
      </c>
      <c r="X38">
        <v>32.5</v>
      </c>
      <c r="Y38">
        <v>3.9</v>
      </c>
      <c r="Z38">
        <v>11.85</v>
      </c>
      <c r="AA38">
        <v>32.5</v>
      </c>
      <c r="AB38">
        <v>4.2</v>
      </c>
      <c r="AC38">
        <v>15.256</v>
      </c>
      <c r="AD38">
        <v>32.450000000000003</v>
      </c>
      <c r="AE38">
        <f>Table1[[#This Row],[total_price]]/Table1[[#This Row],[qty]]</f>
        <v>32.5</v>
      </c>
      <c r="AF38">
        <f t="shared" si="0"/>
        <v>24.5</v>
      </c>
      <c r="AG38">
        <f>IF(ROW()=2, "", AVERAGE(D$2:D37))</f>
        <v>10.388888888888889</v>
      </c>
    </row>
    <row r="39" spans="1:33" x14ac:dyDescent="0.25">
      <c r="A39" t="s">
        <v>34</v>
      </c>
      <c r="B39" t="s">
        <v>35</v>
      </c>
      <c r="C39" s="1">
        <v>43103</v>
      </c>
      <c r="D39">
        <v>6</v>
      </c>
      <c r="E39">
        <v>195</v>
      </c>
      <c r="F39">
        <v>18.056666669999998</v>
      </c>
      <c r="G39">
        <v>32.5</v>
      </c>
      <c r="H39">
        <v>49</v>
      </c>
      <c r="I39">
        <v>100</v>
      </c>
      <c r="J39">
        <v>4</v>
      </c>
      <c r="K39">
        <v>150</v>
      </c>
      <c r="L39">
        <v>4.2</v>
      </c>
      <c r="M39">
        <v>13</v>
      </c>
      <c r="N39">
        <v>22</v>
      </c>
      <c r="O39">
        <v>9</v>
      </c>
      <c r="P39">
        <v>1</v>
      </c>
      <c r="Q39">
        <v>3</v>
      </c>
      <c r="R39">
        <v>2018</v>
      </c>
      <c r="S39">
        <v>25</v>
      </c>
      <c r="T39">
        <v>2304</v>
      </c>
      <c r="U39">
        <v>32.5</v>
      </c>
      <c r="V39">
        <v>4.2</v>
      </c>
      <c r="W39">
        <v>18.056666669999998</v>
      </c>
      <c r="X39">
        <v>32.742857139999998</v>
      </c>
      <c r="Y39">
        <v>3.9</v>
      </c>
      <c r="Z39">
        <v>14.02714286</v>
      </c>
      <c r="AA39">
        <v>32.5</v>
      </c>
      <c r="AB39">
        <v>4.2</v>
      </c>
      <c r="AC39">
        <v>18.056666669999998</v>
      </c>
      <c r="AD39">
        <v>32.5</v>
      </c>
      <c r="AE39">
        <f>Table1[[#This Row],[total_price]]/Table1[[#This Row],[qty]]</f>
        <v>32.5</v>
      </c>
      <c r="AF39">
        <f t="shared" si="0"/>
        <v>32.5</v>
      </c>
      <c r="AG39">
        <f>IF(ROW()=2, "", AVERAGE(D$2:D38))</f>
        <v>10.243243243243244</v>
      </c>
    </row>
    <row r="40" spans="1:33" x14ac:dyDescent="0.25">
      <c r="A40" t="s">
        <v>34</v>
      </c>
      <c r="B40" t="s">
        <v>35</v>
      </c>
      <c r="C40" s="1">
        <v>43104</v>
      </c>
      <c r="D40">
        <v>7</v>
      </c>
      <c r="E40">
        <v>245.4</v>
      </c>
      <c r="F40">
        <v>12.985714290000001</v>
      </c>
      <c r="G40">
        <v>35.057142859999999</v>
      </c>
      <c r="H40">
        <v>49</v>
      </c>
      <c r="I40">
        <v>100</v>
      </c>
      <c r="J40">
        <v>4</v>
      </c>
      <c r="K40">
        <v>150</v>
      </c>
      <c r="L40">
        <v>4.2</v>
      </c>
      <c r="M40">
        <v>13</v>
      </c>
      <c r="N40">
        <v>21</v>
      </c>
      <c r="O40">
        <v>9</v>
      </c>
      <c r="P40">
        <v>1</v>
      </c>
      <c r="Q40">
        <v>4</v>
      </c>
      <c r="R40">
        <v>2018</v>
      </c>
      <c r="S40">
        <v>29.166666670000001</v>
      </c>
      <c r="T40">
        <v>2304</v>
      </c>
      <c r="U40">
        <v>35.057142859999999</v>
      </c>
      <c r="V40">
        <v>4.2</v>
      </c>
      <c r="W40">
        <v>12.985714290000001</v>
      </c>
      <c r="X40">
        <v>34.200000000000003</v>
      </c>
      <c r="Y40">
        <v>3.9</v>
      </c>
      <c r="Z40">
        <v>15.015000000000001</v>
      </c>
      <c r="AA40">
        <v>35.057142859999999</v>
      </c>
      <c r="AB40">
        <v>4.2</v>
      </c>
      <c r="AC40">
        <v>12.985714290000001</v>
      </c>
      <c r="AD40">
        <v>32.5</v>
      </c>
      <c r="AE40">
        <f>Table1[[#This Row],[total_price]]/Table1[[#This Row],[qty]]</f>
        <v>35.057142857142857</v>
      </c>
      <c r="AF40">
        <f t="shared" si="0"/>
        <v>32.5</v>
      </c>
      <c r="AG40">
        <f>IF(ROW()=2, "", AVERAGE(D$2:D39))</f>
        <v>10.131578947368421</v>
      </c>
    </row>
    <row r="41" spans="1:33" x14ac:dyDescent="0.25">
      <c r="A41" t="s">
        <v>34</v>
      </c>
      <c r="B41" t="s">
        <v>35</v>
      </c>
      <c r="C41" s="1">
        <v>43105</v>
      </c>
      <c r="D41">
        <v>3</v>
      </c>
      <c r="E41">
        <v>108.6</v>
      </c>
      <c r="F41">
        <v>15.87</v>
      </c>
      <c r="G41">
        <v>36.200000000000003</v>
      </c>
      <c r="H41">
        <v>49</v>
      </c>
      <c r="I41">
        <v>100</v>
      </c>
      <c r="J41">
        <v>4</v>
      </c>
      <c r="K41">
        <v>150</v>
      </c>
      <c r="L41">
        <v>4.2</v>
      </c>
      <c r="M41">
        <v>3</v>
      </c>
      <c r="N41">
        <v>23</v>
      </c>
      <c r="O41">
        <v>8</v>
      </c>
      <c r="P41">
        <v>3</v>
      </c>
      <c r="Q41">
        <v>5</v>
      </c>
      <c r="R41">
        <v>2018</v>
      </c>
      <c r="S41">
        <v>12.5</v>
      </c>
      <c r="T41">
        <v>2304</v>
      </c>
      <c r="U41">
        <v>36.200000000000003</v>
      </c>
      <c r="V41">
        <v>4.2</v>
      </c>
      <c r="W41">
        <v>15.87</v>
      </c>
      <c r="X41">
        <v>36.200000000000003</v>
      </c>
      <c r="Y41">
        <v>4.2</v>
      </c>
      <c r="Z41">
        <v>15.87</v>
      </c>
      <c r="AA41">
        <v>36.200000000000003</v>
      </c>
      <c r="AB41">
        <v>4.2</v>
      </c>
      <c r="AC41">
        <v>15.87</v>
      </c>
      <c r="AD41">
        <v>35.057142859999999</v>
      </c>
      <c r="AE41">
        <f>Table1[[#This Row],[total_price]]/Table1[[#This Row],[qty]]</f>
        <v>36.199999999999996</v>
      </c>
      <c r="AF41">
        <f t="shared" si="0"/>
        <v>35.057142857142857</v>
      </c>
      <c r="AG41">
        <f>IF(ROW()=2, "", AVERAGE(D$2:D40))</f>
        <v>10.051282051282051</v>
      </c>
    </row>
    <row r="42" spans="1:33" x14ac:dyDescent="0.25">
      <c r="A42" t="s">
        <v>34</v>
      </c>
      <c r="B42" t="s">
        <v>35</v>
      </c>
      <c r="C42" s="1">
        <v>43106</v>
      </c>
      <c r="D42">
        <v>2</v>
      </c>
      <c r="E42">
        <v>72.400000000000006</v>
      </c>
      <c r="F42">
        <v>18.350000000000001</v>
      </c>
      <c r="G42">
        <v>36.200000000000003</v>
      </c>
      <c r="H42">
        <v>49</v>
      </c>
      <c r="I42">
        <v>100</v>
      </c>
      <c r="J42">
        <v>4</v>
      </c>
      <c r="K42">
        <v>150</v>
      </c>
      <c r="L42">
        <v>4.2</v>
      </c>
      <c r="M42">
        <v>2</v>
      </c>
      <c r="N42">
        <v>21</v>
      </c>
      <c r="O42">
        <v>9</v>
      </c>
      <c r="P42">
        <v>0</v>
      </c>
      <c r="Q42">
        <v>6</v>
      </c>
      <c r="R42">
        <v>2018</v>
      </c>
      <c r="S42">
        <v>8.3333333330000006</v>
      </c>
      <c r="T42">
        <v>2304</v>
      </c>
      <c r="U42">
        <v>36.200000000000003</v>
      </c>
      <c r="V42">
        <v>4.2</v>
      </c>
      <c r="W42">
        <v>18.350000000000001</v>
      </c>
      <c r="X42">
        <v>36.200000000000003</v>
      </c>
      <c r="Y42">
        <v>4.2</v>
      </c>
      <c r="Z42">
        <v>18.350000000000001</v>
      </c>
      <c r="AA42">
        <v>36.200000000000003</v>
      </c>
      <c r="AB42">
        <v>4.2</v>
      </c>
      <c r="AC42">
        <v>18.350000000000001</v>
      </c>
      <c r="AD42">
        <v>36.200000000000003</v>
      </c>
      <c r="AE42">
        <f>Table1[[#This Row],[total_price]]/Table1[[#This Row],[qty]]</f>
        <v>36.200000000000003</v>
      </c>
      <c r="AF42">
        <f t="shared" si="0"/>
        <v>36.199999999999996</v>
      </c>
      <c r="AG42">
        <f>IF(ROW()=2, "", AVERAGE(D$2:D41))</f>
        <v>9.875</v>
      </c>
    </row>
    <row r="43" spans="1:33" x14ac:dyDescent="0.25">
      <c r="A43" t="s">
        <v>34</v>
      </c>
      <c r="B43" t="s">
        <v>35</v>
      </c>
      <c r="C43" s="1">
        <v>43107</v>
      </c>
      <c r="D43">
        <v>1</v>
      </c>
      <c r="E43">
        <v>36.200000000000003</v>
      </c>
      <c r="F43">
        <v>22.18</v>
      </c>
      <c r="G43">
        <v>36.200000000000003</v>
      </c>
      <c r="H43">
        <v>49</v>
      </c>
      <c r="I43">
        <v>100</v>
      </c>
      <c r="J43">
        <v>4</v>
      </c>
      <c r="K43">
        <v>150</v>
      </c>
      <c r="L43">
        <v>4.2</v>
      </c>
      <c r="M43">
        <v>1</v>
      </c>
      <c r="N43">
        <v>22</v>
      </c>
      <c r="O43">
        <v>9</v>
      </c>
      <c r="P43">
        <v>1</v>
      </c>
      <c r="Q43">
        <v>7</v>
      </c>
      <c r="R43">
        <v>2018</v>
      </c>
      <c r="S43">
        <v>7.59180791</v>
      </c>
      <c r="T43">
        <v>2304</v>
      </c>
      <c r="U43">
        <v>36.200000000000003</v>
      </c>
      <c r="V43">
        <v>4.2</v>
      </c>
      <c r="W43">
        <v>22.18</v>
      </c>
      <c r="X43">
        <v>36.200000000000003</v>
      </c>
      <c r="Y43">
        <v>4.2</v>
      </c>
      <c r="Z43">
        <v>22.18</v>
      </c>
      <c r="AA43">
        <v>36.200000000000003</v>
      </c>
      <c r="AB43">
        <v>4.2</v>
      </c>
      <c r="AC43">
        <v>22.18</v>
      </c>
      <c r="AD43">
        <v>36.200000000000003</v>
      </c>
      <c r="AE43">
        <f>Table1[[#This Row],[total_price]]/Table1[[#This Row],[qty]]</f>
        <v>36.200000000000003</v>
      </c>
      <c r="AF43">
        <f t="shared" si="0"/>
        <v>36.200000000000003</v>
      </c>
      <c r="AG43">
        <f>IF(ROW()=2, "", AVERAGE(D$2:D42))</f>
        <v>9.6829268292682933</v>
      </c>
    </row>
    <row r="44" spans="1:33" x14ac:dyDescent="0.25">
      <c r="A44" t="s">
        <v>36</v>
      </c>
      <c r="B44" t="s">
        <v>33</v>
      </c>
      <c r="C44" s="1">
        <v>42739</v>
      </c>
      <c r="D44">
        <v>1</v>
      </c>
      <c r="E44">
        <v>59.9</v>
      </c>
      <c r="F44">
        <v>17.16</v>
      </c>
      <c r="G44">
        <v>59.9</v>
      </c>
      <c r="H44">
        <v>57</v>
      </c>
      <c r="I44">
        <v>339</v>
      </c>
      <c r="J44">
        <v>2</v>
      </c>
      <c r="K44">
        <v>1800</v>
      </c>
      <c r="L44">
        <v>4.2</v>
      </c>
      <c r="M44">
        <v>17</v>
      </c>
      <c r="N44">
        <v>20</v>
      </c>
      <c r="O44">
        <v>10</v>
      </c>
      <c r="P44">
        <v>2</v>
      </c>
      <c r="Q44">
        <v>4</v>
      </c>
      <c r="R44">
        <v>2017</v>
      </c>
      <c r="S44">
        <v>7.8796128249999997</v>
      </c>
      <c r="T44">
        <v>32560</v>
      </c>
      <c r="U44">
        <v>59.9</v>
      </c>
      <c r="V44">
        <v>4.2</v>
      </c>
      <c r="W44">
        <v>17.16</v>
      </c>
      <c r="X44">
        <v>59.9</v>
      </c>
      <c r="Y44">
        <v>4.2</v>
      </c>
      <c r="Z44">
        <v>17.16</v>
      </c>
      <c r="AA44">
        <v>59.9</v>
      </c>
      <c r="AB44">
        <v>4.2</v>
      </c>
      <c r="AC44">
        <v>17.16</v>
      </c>
      <c r="AD44">
        <v>59.85</v>
      </c>
      <c r="AE44">
        <f>Table1[[#This Row],[total_price]]/Table1[[#This Row],[qty]]</f>
        <v>59.9</v>
      </c>
      <c r="AF44" t="str">
        <f t="shared" si="0"/>
        <v/>
      </c>
      <c r="AG44">
        <f>IF(ROW()=2, "", AVERAGE(D$2:D43))</f>
        <v>9.4761904761904763</v>
      </c>
    </row>
    <row r="45" spans="1:33" x14ac:dyDescent="0.25">
      <c r="A45" t="s">
        <v>36</v>
      </c>
      <c r="B45" t="s">
        <v>33</v>
      </c>
      <c r="C45" s="1">
        <v>42740</v>
      </c>
      <c r="D45">
        <v>1</v>
      </c>
      <c r="E45">
        <v>59.9</v>
      </c>
      <c r="F45">
        <v>13.44</v>
      </c>
      <c r="G45">
        <v>59.9</v>
      </c>
      <c r="H45">
        <v>57</v>
      </c>
      <c r="I45">
        <v>339</v>
      </c>
      <c r="J45">
        <v>2</v>
      </c>
      <c r="K45">
        <v>1800</v>
      </c>
      <c r="L45">
        <v>4.2</v>
      </c>
      <c r="M45">
        <v>34</v>
      </c>
      <c r="N45">
        <v>23</v>
      </c>
      <c r="O45">
        <v>8</v>
      </c>
      <c r="P45">
        <v>1</v>
      </c>
      <c r="Q45">
        <v>5</v>
      </c>
      <c r="R45">
        <v>2017</v>
      </c>
      <c r="S45">
        <v>8.7568058079999993</v>
      </c>
      <c r="T45">
        <v>32560</v>
      </c>
      <c r="U45">
        <v>59.9</v>
      </c>
      <c r="V45">
        <v>4.0999999999999996</v>
      </c>
      <c r="W45">
        <v>19.732500000000002</v>
      </c>
      <c r="X45">
        <v>59.9</v>
      </c>
      <c r="Y45">
        <v>4.2</v>
      </c>
      <c r="Z45">
        <v>26.24666667</v>
      </c>
      <c r="AA45">
        <v>59.9</v>
      </c>
      <c r="AB45">
        <v>4.2</v>
      </c>
      <c r="AC45">
        <v>13.44</v>
      </c>
      <c r="AD45">
        <v>59.9</v>
      </c>
      <c r="AE45">
        <f>Table1[[#This Row],[total_price]]/Table1[[#This Row],[qty]]</f>
        <v>59.9</v>
      </c>
      <c r="AF45">
        <f t="shared" si="0"/>
        <v>59.9</v>
      </c>
      <c r="AG45">
        <f>IF(ROW()=2, "", AVERAGE(D$2:D44))</f>
        <v>9.279069767441861</v>
      </c>
    </row>
    <row r="46" spans="1:33" x14ac:dyDescent="0.25">
      <c r="A46" t="s">
        <v>36</v>
      </c>
      <c r="B46" t="s">
        <v>33</v>
      </c>
      <c r="C46" s="1">
        <v>42742</v>
      </c>
      <c r="D46">
        <v>4</v>
      </c>
      <c r="E46">
        <v>239.6</v>
      </c>
      <c r="F46">
        <v>17.670000000000002</v>
      </c>
      <c r="G46">
        <v>59.9</v>
      </c>
      <c r="H46">
        <v>57</v>
      </c>
      <c r="I46">
        <v>339</v>
      </c>
      <c r="J46">
        <v>2</v>
      </c>
      <c r="K46">
        <v>1800</v>
      </c>
      <c r="L46">
        <v>4.2</v>
      </c>
      <c r="M46">
        <v>74</v>
      </c>
      <c r="N46">
        <v>21</v>
      </c>
      <c r="O46">
        <v>10</v>
      </c>
      <c r="P46">
        <v>1</v>
      </c>
      <c r="Q46">
        <v>7</v>
      </c>
      <c r="R46">
        <v>2017</v>
      </c>
      <c r="S46">
        <v>8.711433757</v>
      </c>
      <c r="T46">
        <v>32560</v>
      </c>
      <c r="U46">
        <v>59.9</v>
      </c>
      <c r="V46">
        <v>4.0999999999999996</v>
      </c>
      <c r="W46">
        <v>16.626428570000002</v>
      </c>
      <c r="X46">
        <v>59.9</v>
      </c>
      <c r="Y46">
        <v>4.2</v>
      </c>
      <c r="Z46">
        <v>16.111578949999998</v>
      </c>
      <c r="AA46">
        <v>59.9</v>
      </c>
      <c r="AB46">
        <v>4.0999999999999996</v>
      </c>
      <c r="AC46">
        <v>15.392307690000001</v>
      </c>
      <c r="AD46">
        <v>59.85</v>
      </c>
      <c r="AE46">
        <f>Table1[[#This Row],[total_price]]/Table1[[#This Row],[qty]]</f>
        <v>59.9</v>
      </c>
      <c r="AF46">
        <f t="shared" si="0"/>
        <v>59.9</v>
      </c>
      <c r="AG46">
        <f>IF(ROW()=2, "", AVERAGE(D$2:D45))</f>
        <v>9.0909090909090917</v>
      </c>
    </row>
    <row r="47" spans="1:33" x14ac:dyDescent="0.25">
      <c r="A47" t="s">
        <v>36</v>
      </c>
      <c r="B47" t="s">
        <v>33</v>
      </c>
      <c r="C47" s="1">
        <v>42743</v>
      </c>
      <c r="D47">
        <v>6</v>
      </c>
      <c r="E47">
        <v>359.4</v>
      </c>
      <c r="F47">
        <v>16.260000000000002</v>
      </c>
      <c r="G47">
        <v>59.9</v>
      </c>
      <c r="H47">
        <v>57</v>
      </c>
      <c r="I47">
        <v>339</v>
      </c>
      <c r="J47">
        <v>2</v>
      </c>
      <c r="K47">
        <v>1800</v>
      </c>
      <c r="L47">
        <v>4.2</v>
      </c>
      <c r="M47">
        <v>113</v>
      </c>
      <c r="N47">
        <v>23</v>
      </c>
      <c r="O47">
        <v>8</v>
      </c>
      <c r="P47">
        <v>1</v>
      </c>
      <c r="Q47">
        <v>8</v>
      </c>
      <c r="R47">
        <v>2017</v>
      </c>
      <c r="S47">
        <v>11.31276467</v>
      </c>
      <c r="T47">
        <v>32560</v>
      </c>
      <c r="U47">
        <v>59.9</v>
      </c>
      <c r="V47">
        <v>4.0999999999999996</v>
      </c>
      <c r="W47">
        <v>18.162307689999999</v>
      </c>
      <c r="X47">
        <v>59.9</v>
      </c>
      <c r="Y47">
        <v>4.2</v>
      </c>
      <c r="Z47">
        <v>17.68111111</v>
      </c>
      <c r="AA47">
        <v>59.9</v>
      </c>
      <c r="AB47">
        <v>4.0999999999999996</v>
      </c>
      <c r="AC47">
        <v>18.05043478</v>
      </c>
      <c r="AD47">
        <v>59.9</v>
      </c>
      <c r="AE47">
        <f>Table1[[#This Row],[total_price]]/Table1[[#This Row],[qty]]</f>
        <v>59.9</v>
      </c>
      <c r="AF47">
        <f t="shared" si="0"/>
        <v>59.9</v>
      </c>
      <c r="AG47">
        <f>IF(ROW()=2, "", AVERAGE(D$2:D46))</f>
        <v>8.9777777777777779</v>
      </c>
    </row>
    <row r="48" spans="1:33" x14ac:dyDescent="0.25">
      <c r="A48" t="s">
        <v>36</v>
      </c>
      <c r="B48" t="s">
        <v>33</v>
      </c>
      <c r="C48" s="1">
        <v>42744</v>
      </c>
      <c r="D48">
        <v>5</v>
      </c>
      <c r="E48">
        <v>299.5</v>
      </c>
      <c r="F48">
        <v>16.782</v>
      </c>
      <c r="G48">
        <v>59.9</v>
      </c>
      <c r="H48">
        <v>57</v>
      </c>
      <c r="I48">
        <v>339</v>
      </c>
      <c r="J48">
        <v>2</v>
      </c>
      <c r="K48">
        <v>1800</v>
      </c>
      <c r="L48">
        <v>4.2</v>
      </c>
      <c r="M48">
        <v>115</v>
      </c>
      <c r="N48">
        <v>21</v>
      </c>
      <c r="O48">
        <v>9</v>
      </c>
      <c r="P48">
        <v>1</v>
      </c>
      <c r="Q48">
        <v>9</v>
      </c>
      <c r="R48">
        <v>2017</v>
      </c>
      <c r="S48">
        <v>8.6206896549999996</v>
      </c>
      <c r="T48">
        <v>32560</v>
      </c>
      <c r="U48">
        <v>59.9</v>
      </c>
      <c r="V48">
        <v>4.0999999999999996</v>
      </c>
      <c r="W48">
        <v>17.187027029999999</v>
      </c>
      <c r="X48">
        <v>59.9</v>
      </c>
      <c r="Y48">
        <v>4.2</v>
      </c>
      <c r="Z48">
        <v>16.811764709999999</v>
      </c>
      <c r="AA48">
        <v>59.9</v>
      </c>
      <c r="AB48">
        <v>4.0999999999999996</v>
      </c>
      <c r="AC48">
        <v>16.29461538</v>
      </c>
      <c r="AD48">
        <v>59.9</v>
      </c>
      <c r="AE48">
        <f>Table1[[#This Row],[total_price]]/Table1[[#This Row],[qty]]</f>
        <v>59.9</v>
      </c>
      <c r="AF48">
        <f t="shared" si="0"/>
        <v>59.9</v>
      </c>
      <c r="AG48">
        <f>IF(ROW()=2, "", AVERAGE(D$2:D47))</f>
        <v>8.9130434782608692</v>
      </c>
    </row>
    <row r="49" spans="1:33" x14ac:dyDescent="0.25">
      <c r="A49" t="s">
        <v>36</v>
      </c>
      <c r="B49" t="s">
        <v>33</v>
      </c>
      <c r="C49" s="1">
        <v>42745</v>
      </c>
      <c r="D49">
        <v>11</v>
      </c>
      <c r="E49">
        <v>658.9</v>
      </c>
      <c r="F49">
        <v>14.807272729999999</v>
      </c>
      <c r="G49">
        <v>59.9</v>
      </c>
      <c r="H49">
        <v>57</v>
      </c>
      <c r="I49">
        <v>339</v>
      </c>
      <c r="J49">
        <v>2</v>
      </c>
      <c r="K49">
        <v>1800</v>
      </c>
      <c r="L49">
        <v>4.2</v>
      </c>
      <c r="M49">
        <v>146</v>
      </c>
      <c r="N49">
        <v>22</v>
      </c>
      <c r="O49">
        <v>9</v>
      </c>
      <c r="P49">
        <v>2</v>
      </c>
      <c r="Q49">
        <v>10</v>
      </c>
      <c r="R49">
        <v>2017</v>
      </c>
      <c r="S49">
        <v>18.96551724</v>
      </c>
      <c r="T49">
        <v>32560</v>
      </c>
      <c r="U49">
        <v>59.9</v>
      </c>
      <c r="V49">
        <v>4.0999999999999996</v>
      </c>
      <c r="W49">
        <v>18.065897440000001</v>
      </c>
      <c r="X49">
        <v>59.9</v>
      </c>
      <c r="Y49">
        <v>4.2</v>
      </c>
      <c r="Z49">
        <v>17.595483869999999</v>
      </c>
      <c r="AA49">
        <v>59.9</v>
      </c>
      <c r="AB49">
        <v>4.0999999999999996</v>
      </c>
      <c r="AC49">
        <v>16.814166669999999</v>
      </c>
      <c r="AD49">
        <v>59.9</v>
      </c>
      <c r="AE49">
        <f>Table1[[#This Row],[total_price]]/Table1[[#This Row],[qty]]</f>
        <v>59.9</v>
      </c>
      <c r="AF49">
        <f t="shared" si="0"/>
        <v>59.9</v>
      </c>
      <c r="AG49">
        <f>IF(ROW()=2, "", AVERAGE(D$2:D48))</f>
        <v>8.8297872340425538</v>
      </c>
    </row>
    <row r="50" spans="1:33" x14ac:dyDescent="0.25">
      <c r="A50" t="s">
        <v>36</v>
      </c>
      <c r="B50" t="s">
        <v>33</v>
      </c>
      <c r="C50" s="1">
        <v>42746</v>
      </c>
      <c r="D50">
        <v>20</v>
      </c>
      <c r="E50">
        <v>1043.5999999999999</v>
      </c>
      <c r="F50">
        <v>16.015999999999998</v>
      </c>
      <c r="G50">
        <v>51.32222222</v>
      </c>
      <c r="H50">
        <v>57</v>
      </c>
      <c r="I50">
        <v>339</v>
      </c>
      <c r="J50">
        <v>2</v>
      </c>
      <c r="K50">
        <v>1800</v>
      </c>
      <c r="L50">
        <v>4.2</v>
      </c>
      <c r="M50">
        <v>339</v>
      </c>
      <c r="N50">
        <v>22</v>
      </c>
      <c r="O50">
        <v>8</v>
      </c>
      <c r="P50">
        <v>4</v>
      </c>
      <c r="Q50">
        <v>11</v>
      </c>
      <c r="R50">
        <v>2017</v>
      </c>
      <c r="S50">
        <v>34.482758619999998</v>
      </c>
      <c r="T50">
        <v>32560</v>
      </c>
      <c r="U50">
        <v>52.406944439999997</v>
      </c>
      <c r="V50">
        <v>4.0999999999999996</v>
      </c>
      <c r="W50">
        <v>17.06747253</v>
      </c>
      <c r="X50">
        <v>53.648281249999997</v>
      </c>
      <c r="Y50">
        <v>4.2</v>
      </c>
      <c r="Z50">
        <v>16.075862069999999</v>
      </c>
      <c r="AA50">
        <v>53.785714290000001</v>
      </c>
      <c r="AB50">
        <v>4.0999999999999996</v>
      </c>
      <c r="AC50">
        <v>18.27550725</v>
      </c>
      <c r="AD50">
        <v>59.9</v>
      </c>
      <c r="AE50">
        <f>Table1[[#This Row],[total_price]]/Table1[[#This Row],[qty]]</f>
        <v>52.179999999999993</v>
      </c>
      <c r="AF50">
        <f t="shared" si="0"/>
        <v>59.9</v>
      </c>
      <c r="AG50">
        <f>IF(ROW()=2, "", AVERAGE(D$2:D49))</f>
        <v>8.875</v>
      </c>
    </row>
    <row r="51" spans="1:33" x14ac:dyDescent="0.25">
      <c r="A51" t="s">
        <v>36</v>
      </c>
      <c r="B51" t="s">
        <v>33</v>
      </c>
      <c r="C51" s="1">
        <v>42747</v>
      </c>
      <c r="D51">
        <v>10</v>
      </c>
      <c r="E51">
        <v>571.79999999999995</v>
      </c>
      <c r="F51">
        <v>18.103000000000002</v>
      </c>
      <c r="G51">
        <v>56.977777779999997</v>
      </c>
      <c r="H51">
        <v>57</v>
      </c>
      <c r="I51">
        <v>339</v>
      </c>
      <c r="J51">
        <v>2</v>
      </c>
      <c r="K51">
        <v>1800</v>
      </c>
      <c r="L51">
        <v>4.2</v>
      </c>
      <c r="M51">
        <v>184</v>
      </c>
      <c r="N51">
        <v>21</v>
      </c>
      <c r="O51">
        <v>10</v>
      </c>
      <c r="P51">
        <v>1</v>
      </c>
      <c r="Q51">
        <v>12</v>
      </c>
      <c r="R51">
        <v>2017</v>
      </c>
      <c r="S51">
        <v>17.241379309999999</v>
      </c>
      <c r="T51">
        <v>32560</v>
      </c>
      <c r="U51">
        <v>55.1</v>
      </c>
      <c r="V51">
        <v>4.0999999999999996</v>
      </c>
      <c r="W51">
        <v>15.759607839999999</v>
      </c>
      <c r="X51">
        <v>55.424999999999997</v>
      </c>
      <c r="Y51">
        <v>4.2</v>
      </c>
      <c r="Z51">
        <v>19.184374999999999</v>
      </c>
      <c r="AA51">
        <v>55.75</v>
      </c>
      <c r="AB51">
        <v>4.0999999999999996</v>
      </c>
      <c r="AC51">
        <v>17.267272729999998</v>
      </c>
      <c r="AD51">
        <v>51.32222222</v>
      </c>
      <c r="AE51">
        <f>Table1[[#This Row],[total_price]]/Table1[[#This Row],[qty]]</f>
        <v>57.179999999999993</v>
      </c>
      <c r="AF51">
        <f t="shared" si="0"/>
        <v>52.179999999999993</v>
      </c>
      <c r="AG51">
        <f>IF(ROW()=2, "", AVERAGE(D$2:D50))</f>
        <v>9.1020408163265305</v>
      </c>
    </row>
    <row r="52" spans="1:33" x14ac:dyDescent="0.25">
      <c r="A52" t="s">
        <v>36</v>
      </c>
      <c r="B52" t="s">
        <v>33</v>
      </c>
      <c r="C52" s="1">
        <v>43101</v>
      </c>
      <c r="D52">
        <v>11</v>
      </c>
      <c r="E52">
        <v>548.9</v>
      </c>
      <c r="F52">
        <v>21.982727270000002</v>
      </c>
      <c r="G52">
        <v>49.9</v>
      </c>
      <c r="H52">
        <v>57</v>
      </c>
      <c r="I52">
        <v>339</v>
      </c>
      <c r="J52">
        <v>2</v>
      </c>
      <c r="K52">
        <v>1800</v>
      </c>
      <c r="L52">
        <v>4.2</v>
      </c>
      <c r="M52">
        <v>137</v>
      </c>
      <c r="N52">
        <v>23</v>
      </c>
      <c r="O52">
        <v>8</v>
      </c>
      <c r="P52">
        <v>2</v>
      </c>
      <c r="Q52">
        <v>1</v>
      </c>
      <c r="R52">
        <v>2018</v>
      </c>
      <c r="S52">
        <v>19.298245609999999</v>
      </c>
      <c r="T52">
        <v>32560</v>
      </c>
      <c r="U52">
        <v>49.9</v>
      </c>
      <c r="V52">
        <v>4.0999999999999996</v>
      </c>
      <c r="W52">
        <v>19.495000000000001</v>
      </c>
      <c r="X52">
        <v>49.9</v>
      </c>
      <c r="Y52">
        <v>4.2</v>
      </c>
      <c r="Z52">
        <v>15.841034479999999</v>
      </c>
      <c r="AA52">
        <v>49.9</v>
      </c>
      <c r="AB52">
        <v>4.0999999999999996</v>
      </c>
      <c r="AC52">
        <v>16.505128209999999</v>
      </c>
      <c r="AD52">
        <v>56.977777779999997</v>
      </c>
      <c r="AE52">
        <f>Table1[[#This Row],[total_price]]/Table1[[#This Row],[qty]]</f>
        <v>49.9</v>
      </c>
      <c r="AF52">
        <f t="shared" si="0"/>
        <v>57.179999999999993</v>
      </c>
      <c r="AG52">
        <f>IF(ROW()=2, "", AVERAGE(D$2:D51))</f>
        <v>9.1199999999999992</v>
      </c>
    </row>
    <row r="53" spans="1:33" x14ac:dyDescent="0.25">
      <c r="A53" t="s">
        <v>36</v>
      </c>
      <c r="B53" t="s">
        <v>33</v>
      </c>
      <c r="C53" s="1">
        <v>43102</v>
      </c>
      <c r="D53">
        <v>8</v>
      </c>
      <c r="E53">
        <v>411.2</v>
      </c>
      <c r="F53">
        <v>14.08375</v>
      </c>
      <c r="G53">
        <v>51.4</v>
      </c>
      <c r="H53">
        <v>57</v>
      </c>
      <c r="I53">
        <v>339</v>
      </c>
      <c r="J53">
        <v>2</v>
      </c>
      <c r="K53">
        <v>1800</v>
      </c>
      <c r="L53">
        <v>4.2</v>
      </c>
      <c r="M53">
        <v>160</v>
      </c>
      <c r="N53">
        <v>20</v>
      </c>
      <c r="O53">
        <v>8</v>
      </c>
      <c r="P53">
        <v>2</v>
      </c>
      <c r="Q53">
        <v>2</v>
      </c>
      <c r="R53">
        <v>2018</v>
      </c>
      <c r="S53">
        <v>14.03508772</v>
      </c>
      <c r="T53">
        <v>32560</v>
      </c>
      <c r="U53">
        <v>50.545161290000003</v>
      </c>
      <c r="V53">
        <v>4.0999999999999996</v>
      </c>
      <c r="W53">
        <v>16.611538459999998</v>
      </c>
      <c r="X53">
        <v>50.9</v>
      </c>
      <c r="Y53">
        <v>4.2</v>
      </c>
      <c r="Z53">
        <v>17.519444440000001</v>
      </c>
      <c r="AA53">
        <v>50.357142860000003</v>
      </c>
      <c r="AB53">
        <v>4.0999999999999996</v>
      </c>
      <c r="AC53">
        <v>18.281874999999999</v>
      </c>
      <c r="AD53">
        <v>49.9</v>
      </c>
      <c r="AE53">
        <f>Table1[[#This Row],[total_price]]/Table1[[#This Row],[qty]]</f>
        <v>51.4</v>
      </c>
      <c r="AF53">
        <f t="shared" si="0"/>
        <v>49.9</v>
      </c>
      <c r="AG53">
        <f>IF(ROW()=2, "", AVERAGE(D$2:D52))</f>
        <v>9.1568627450980387</v>
      </c>
    </row>
    <row r="54" spans="1:33" x14ac:dyDescent="0.25">
      <c r="A54" t="s">
        <v>36</v>
      </c>
      <c r="B54" t="s">
        <v>33</v>
      </c>
      <c r="C54" s="1">
        <v>43103</v>
      </c>
      <c r="D54">
        <v>3</v>
      </c>
      <c r="E54">
        <v>161.69999999999999</v>
      </c>
      <c r="F54">
        <v>21.35</v>
      </c>
      <c r="G54">
        <v>53.9</v>
      </c>
      <c r="H54">
        <v>57</v>
      </c>
      <c r="I54">
        <v>339</v>
      </c>
      <c r="J54">
        <v>2</v>
      </c>
      <c r="K54">
        <v>1800</v>
      </c>
      <c r="L54">
        <v>4.2</v>
      </c>
      <c r="M54">
        <v>116</v>
      </c>
      <c r="N54">
        <v>22</v>
      </c>
      <c r="O54">
        <v>9</v>
      </c>
      <c r="P54">
        <v>1</v>
      </c>
      <c r="Q54">
        <v>3</v>
      </c>
      <c r="R54">
        <v>2018</v>
      </c>
      <c r="S54">
        <v>5.263157895</v>
      </c>
      <c r="T54">
        <v>32560</v>
      </c>
      <c r="U54">
        <v>53.9</v>
      </c>
      <c r="V54">
        <v>4.0999999999999996</v>
      </c>
      <c r="W54">
        <v>20.359677420000001</v>
      </c>
      <c r="X54">
        <v>53.9</v>
      </c>
      <c r="Y54">
        <v>4.2</v>
      </c>
      <c r="Z54">
        <v>21.852857140000001</v>
      </c>
      <c r="AA54">
        <v>53.9</v>
      </c>
      <c r="AB54">
        <v>4.0999999999999996</v>
      </c>
      <c r="AC54">
        <v>19.024230769999999</v>
      </c>
      <c r="AD54">
        <v>51.4</v>
      </c>
      <c r="AE54">
        <f>Table1[[#This Row],[total_price]]/Table1[[#This Row],[qty]]</f>
        <v>53.9</v>
      </c>
      <c r="AF54">
        <f t="shared" si="0"/>
        <v>51.4</v>
      </c>
      <c r="AG54">
        <f>IF(ROW()=2, "", AVERAGE(D$2:D53))</f>
        <v>9.134615384615385</v>
      </c>
    </row>
    <row r="55" spans="1:33" x14ac:dyDescent="0.25">
      <c r="A55" t="s">
        <v>36</v>
      </c>
      <c r="B55" t="s">
        <v>33</v>
      </c>
      <c r="C55" s="1">
        <v>43104</v>
      </c>
      <c r="D55">
        <v>8</v>
      </c>
      <c r="E55">
        <v>431.2</v>
      </c>
      <c r="F55">
        <v>19.563749999999999</v>
      </c>
      <c r="G55">
        <v>53.9</v>
      </c>
      <c r="H55">
        <v>57</v>
      </c>
      <c r="I55">
        <v>339</v>
      </c>
      <c r="J55">
        <v>2</v>
      </c>
      <c r="K55">
        <v>1800</v>
      </c>
      <c r="L55">
        <v>4.2</v>
      </c>
      <c r="M55">
        <v>111</v>
      </c>
      <c r="N55">
        <v>21</v>
      </c>
      <c r="O55">
        <v>9</v>
      </c>
      <c r="P55">
        <v>1</v>
      </c>
      <c r="Q55">
        <v>4</v>
      </c>
      <c r="R55">
        <v>2018</v>
      </c>
      <c r="S55">
        <v>7.8796128249999997</v>
      </c>
      <c r="T55">
        <v>32560</v>
      </c>
      <c r="U55">
        <v>53.9</v>
      </c>
      <c r="V55">
        <v>4.0999999999999996</v>
      </c>
      <c r="W55">
        <v>5.2817391300000001</v>
      </c>
      <c r="X55">
        <v>53.9</v>
      </c>
      <c r="Y55">
        <v>4.2</v>
      </c>
      <c r="Z55">
        <v>19.46846154</v>
      </c>
      <c r="AA55">
        <v>53.9</v>
      </c>
      <c r="AB55">
        <v>4.0999999999999996</v>
      </c>
      <c r="AC55">
        <v>19.071428569999998</v>
      </c>
      <c r="AD55">
        <v>53.9</v>
      </c>
      <c r="AE55">
        <f>Table1[[#This Row],[total_price]]/Table1[[#This Row],[qty]]</f>
        <v>53.9</v>
      </c>
      <c r="AF55">
        <f t="shared" si="0"/>
        <v>53.9</v>
      </c>
      <c r="AG55">
        <f>IF(ROW()=2, "", AVERAGE(D$2:D54))</f>
        <v>9.0188679245283012</v>
      </c>
    </row>
    <row r="56" spans="1:33" x14ac:dyDescent="0.25">
      <c r="A56" t="s">
        <v>36</v>
      </c>
      <c r="B56" t="s">
        <v>33</v>
      </c>
      <c r="C56" s="1">
        <v>43105</v>
      </c>
      <c r="D56">
        <v>9</v>
      </c>
      <c r="E56">
        <v>477.1</v>
      </c>
      <c r="F56">
        <v>16.46</v>
      </c>
      <c r="G56">
        <v>52.9</v>
      </c>
      <c r="H56">
        <v>57</v>
      </c>
      <c r="I56">
        <v>339</v>
      </c>
      <c r="J56">
        <v>2</v>
      </c>
      <c r="K56">
        <v>1800</v>
      </c>
      <c r="L56">
        <v>4.2</v>
      </c>
      <c r="M56">
        <v>102</v>
      </c>
      <c r="N56">
        <v>23</v>
      </c>
      <c r="O56">
        <v>8</v>
      </c>
      <c r="P56">
        <v>3</v>
      </c>
      <c r="Q56">
        <v>5</v>
      </c>
      <c r="R56">
        <v>2018</v>
      </c>
      <c r="S56">
        <v>8.7568058079999993</v>
      </c>
      <c r="T56">
        <v>32560</v>
      </c>
      <c r="U56">
        <v>53.415151520000002</v>
      </c>
      <c r="V56">
        <v>4.0999999999999996</v>
      </c>
      <c r="W56">
        <v>10.753035710000001</v>
      </c>
      <c r="X56">
        <v>53.70952381</v>
      </c>
      <c r="Y56">
        <v>4.2</v>
      </c>
      <c r="Z56">
        <v>13.510344829999999</v>
      </c>
      <c r="AA56">
        <v>53.057894740000002</v>
      </c>
      <c r="AB56">
        <v>4.0999999999999996</v>
      </c>
      <c r="AC56">
        <v>12.98</v>
      </c>
      <c r="AD56">
        <v>53.9</v>
      </c>
      <c r="AE56">
        <f>Table1[[#This Row],[total_price]]/Table1[[#This Row],[qty]]</f>
        <v>53.011111111111113</v>
      </c>
      <c r="AF56">
        <f t="shared" si="0"/>
        <v>53.9</v>
      </c>
      <c r="AG56">
        <f>IF(ROW()=2, "", AVERAGE(D$2:D55))</f>
        <v>9</v>
      </c>
    </row>
    <row r="57" spans="1:33" x14ac:dyDescent="0.25">
      <c r="A57" t="s">
        <v>36</v>
      </c>
      <c r="B57" t="s">
        <v>33</v>
      </c>
      <c r="C57" s="1">
        <v>43106</v>
      </c>
      <c r="D57">
        <v>5</v>
      </c>
      <c r="E57">
        <v>249.5</v>
      </c>
      <c r="F57">
        <v>23.122</v>
      </c>
      <c r="G57">
        <v>49.9</v>
      </c>
      <c r="H57">
        <v>57</v>
      </c>
      <c r="I57">
        <v>339</v>
      </c>
      <c r="J57">
        <v>2</v>
      </c>
      <c r="K57">
        <v>1800</v>
      </c>
      <c r="L57">
        <v>4.2</v>
      </c>
      <c r="M57">
        <v>58</v>
      </c>
      <c r="N57">
        <v>21</v>
      </c>
      <c r="O57">
        <v>9</v>
      </c>
      <c r="P57">
        <v>0</v>
      </c>
      <c r="Q57">
        <v>6</v>
      </c>
      <c r="R57">
        <v>2018</v>
      </c>
      <c r="S57">
        <v>8.7719298250000008</v>
      </c>
      <c r="T57">
        <v>32560</v>
      </c>
      <c r="U57">
        <v>49.9</v>
      </c>
      <c r="V57">
        <v>4.0999999999999996</v>
      </c>
      <c r="W57">
        <v>19.89083333</v>
      </c>
      <c r="X57">
        <v>49.9</v>
      </c>
      <c r="Y57">
        <v>4.2</v>
      </c>
      <c r="Z57">
        <v>23.251666669999999</v>
      </c>
      <c r="AA57">
        <v>49.9</v>
      </c>
      <c r="AB57">
        <v>4.0999999999999996</v>
      </c>
      <c r="AC57">
        <v>22.878666670000001</v>
      </c>
      <c r="AD57">
        <v>52.9</v>
      </c>
      <c r="AE57">
        <f>Table1[[#This Row],[total_price]]/Table1[[#This Row],[qty]]</f>
        <v>49.9</v>
      </c>
      <c r="AF57">
        <f t="shared" si="0"/>
        <v>53.011111111111113</v>
      </c>
      <c r="AG57">
        <f>IF(ROW()=2, "", AVERAGE(D$2:D56))</f>
        <v>9</v>
      </c>
    </row>
    <row r="58" spans="1:33" x14ac:dyDescent="0.25">
      <c r="A58" t="s">
        <v>36</v>
      </c>
      <c r="B58" t="s">
        <v>33</v>
      </c>
      <c r="C58" s="1">
        <v>43107</v>
      </c>
      <c r="D58">
        <v>6</v>
      </c>
      <c r="E58">
        <v>299.39999999999998</v>
      </c>
      <c r="F58">
        <v>20.99</v>
      </c>
      <c r="G58">
        <v>49.9</v>
      </c>
      <c r="H58">
        <v>57</v>
      </c>
      <c r="I58">
        <v>339</v>
      </c>
      <c r="J58">
        <v>2</v>
      </c>
      <c r="K58">
        <v>1800</v>
      </c>
      <c r="L58">
        <v>4.2</v>
      </c>
      <c r="M58">
        <v>54</v>
      </c>
      <c r="N58">
        <v>22</v>
      </c>
      <c r="O58">
        <v>9</v>
      </c>
      <c r="P58">
        <v>1</v>
      </c>
      <c r="Q58">
        <v>7</v>
      </c>
      <c r="R58">
        <v>2018</v>
      </c>
      <c r="S58">
        <v>8.711433757</v>
      </c>
      <c r="T58">
        <v>32560</v>
      </c>
      <c r="U58">
        <v>49.91</v>
      </c>
      <c r="V58">
        <v>4.0999999999999996</v>
      </c>
      <c r="W58">
        <v>28.373333330000001</v>
      </c>
      <c r="X58">
        <v>49.9</v>
      </c>
      <c r="Y58">
        <v>4.2</v>
      </c>
      <c r="Z58">
        <v>33.281428570000003</v>
      </c>
      <c r="AA58">
        <v>49.9</v>
      </c>
      <c r="AB58">
        <v>4.0999999999999996</v>
      </c>
      <c r="AC58">
        <v>20.99</v>
      </c>
      <c r="AD58">
        <v>49.9</v>
      </c>
      <c r="AE58">
        <f>Table1[[#This Row],[total_price]]/Table1[[#This Row],[qty]]</f>
        <v>49.9</v>
      </c>
      <c r="AF58">
        <f t="shared" si="0"/>
        <v>49.9</v>
      </c>
      <c r="AG58">
        <f>IF(ROW()=2, "", AVERAGE(D$2:D57))</f>
        <v>8.9285714285714288</v>
      </c>
    </row>
    <row r="59" spans="1:33" x14ac:dyDescent="0.25">
      <c r="A59" t="s">
        <v>36</v>
      </c>
      <c r="B59" t="s">
        <v>33</v>
      </c>
      <c r="C59" s="1">
        <v>43108</v>
      </c>
      <c r="D59">
        <v>7</v>
      </c>
      <c r="E59">
        <v>349.3</v>
      </c>
      <c r="F59">
        <v>24.481428569999999</v>
      </c>
      <c r="G59">
        <v>49.9</v>
      </c>
      <c r="H59">
        <v>57</v>
      </c>
      <c r="I59">
        <v>339</v>
      </c>
      <c r="J59">
        <v>2</v>
      </c>
      <c r="K59">
        <v>1800</v>
      </c>
      <c r="L59">
        <v>4.2</v>
      </c>
      <c r="M59">
        <v>46</v>
      </c>
      <c r="N59">
        <v>23</v>
      </c>
      <c r="O59">
        <v>8</v>
      </c>
      <c r="P59">
        <v>1</v>
      </c>
      <c r="Q59">
        <v>8</v>
      </c>
      <c r="R59">
        <v>2018</v>
      </c>
      <c r="S59">
        <v>11.31276467</v>
      </c>
      <c r="T59">
        <v>32560</v>
      </c>
      <c r="U59">
        <v>49.91</v>
      </c>
      <c r="V59">
        <v>4.0999999999999996</v>
      </c>
      <c r="W59">
        <v>20.32833333</v>
      </c>
      <c r="X59">
        <v>49.9</v>
      </c>
      <c r="Y59">
        <v>4.2</v>
      </c>
      <c r="Z59">
        <v>36.442</v>
      </c>
      <c r="AA59">
        <v>49.9</v>
      </c>
      <c r="AB59">
        <v>4.0999999999999996</v>
      </c>
      <c r="AC59">
        <v>32.32</v>
      </c>
      <c r="AD59">
        <v>49.9</v>
      </c>
      <c r="AE59">
        <f>Table1[[#This Row],[total_price]]/Table1[[#This Row],[qty]]</f>
        <v>49.9</v>
      </c>
      <c r="AF59">
        <f t="shared" si="0"/>
        <v>49.9</v>
      </c>
      <c r="AG59">
        <f>IF(ROW()=2, "", AVERAGE(D$2:D58))</f>
        <v>8.8771929824561404</v>
      </c>
    </row>
    <row r="60" spans="1:33" x14ac:dyDescent="0.25">
      <c r="A60" t="s">
        <v>37</v>
      </c>
      <c r="B60" t="s">
        <v>38</v>
      </c>
      <c r="C60" s="1">
        <v>42737</v>
      </c>
      <c r="D60">
        <v>11</v>
      </c>
      <c r="E60">
        <v>219.89</v>
      </c>
      <c r="F60">
        <v>11.75090909</v>
      </c>
      <c r="G60">
        <v>19.989999999999998</v>
      </c>
      <c r="H60">
        <v>48</v>
      </c>
      <c r="I60">
        <v>575</v>
      </c>
      <c r="J60">
        <v>1</v>
      </c>
      <c r="K60">
        <v>100</v>
      </c>
      <c r="L60">
        <v>4.3</v>
      </c>
      <c r="M60">
        <v>19</v>
      </c>
      <c r="N60">
        <v>20</v>
      </c>
      <c r="O60">
        <v>8</v>
      </c>
      <c r="P60">
        <v>2</v>
      </c>
      <c r="Q60">
        <v>2</v>
      </c>
      <c r="R60">
        <v>2017</v>
      </c>
      <c r="S60">
        <v>14.94444444</v>
      </c>
      <c r="T60">
        <v>4500</v>
      </c>
      <c r="U60">
        <v>19.989999999999998</v>
      </c>
      <c r="V60">
        <v>4.3</v>
      </c>
      <c r="W60">
        <v>11.75090909</v>
      </c>
      <c r="X60">
        <v>19.989999999999998</v>
      </c>
      <c r="Y60">
        <v>4.3</v>
      </c>
      <c r="Z60">
        <v>11.75090909</v>
      </c>
      <c r="AA60">
        <v>64.989999999999995</v>
      </c>
      <c r="AB60">
        <v>3.9</v>
      </c>
      <c r="AC60">
        <v>15.348000000000001</v>
      </c>
      <c r="AD60">
        <v>19.940000000000001</v>
      </c>
      <c r="AE60">
        <f>Table1[[#This Row],[total_price]]/Table1[[#This Row],[qty]]</f>
        <v>19.989999999999998</v>
      </c>
      <c r="AF60" t="str">
        <f t="shared" si="0"/>
        <v/>
      </c>
      <c r="AG60">
        <f>IF(ROW()=2, "", AVERAGE(D$2:D59))</f>
        <v>8.8448275862068968</v>
      </c>
    </row>
    <row r="61" spans="1:33" x14ac:dyDescent="0.25">
      <c r="A61" t="s">
        <v>37</v>
      </c>
      <c r="B61" t="s">
        <v>38</v>
      </c>
      <c r="C61" s="1">
        <v>42738</v>
      </c>
      <c r="D61">
        <v>9</v>
      </c>
      <c r="E61">
        <v>179.91</v>
      </c>
      <c r="F61">
        <v>13.81888889</v>
      </c>
      <c r="G61">
        <v>19.989999999999998</v>
      </c>
      <c r="H61">
        <v>48</v>
      </c>
      <c r="I61">
        <v>575</v>
      </c>
      <c r="J61">
        <v>1</v>
      </c>
      <c r="K61">
        <v>100</v>
      </c>
      <c r="L61">
        <v>4.3</v>
      </c>
      <c r="M61">
        <v>25</v>
      </c>
      <c r="N61">
        <v>23</v>
      </c>
      <c r="O61">
        <v>8</v>
      </c>
      <c r="P61">
        <v>1</v>
      </c>
      <c r="Q61">
        <v>3</v>
      </c>
      <c r="R61">
        <v>2017</v>
      </c>
      <c r="S61">
        <v>9.1428571430000005</v>
      </c>
      <c r="T61">
        <v>4500</v>
      </c>
      <c r="U61">
        <v>19.989999999999998</v>
      </c>
      <c r="V61">
        <v>4.3</v>
      </c>
      <c r="W61">
        <v>13.81888889</v>
      </c>
      <c r="X61">
        <v>89.99</v>
      </c>
      <c r="Y61">
        <v>4.0999999999999996</v>
      </c>
      <c r="Z61">
        <v>13.02</v>
      </c>
      <c r="AA61">
        <v>64.989999999999995</v>
      </c>
      <c r="AB61">
        <v>3.9</v>
      </c>
      <c r="AC61">
        <v>17.262222220000002</v>
      </c>
      <c r="AD61">
        <v>19.989999999999998</v>
      </c>
      <c r="AE61">
        <f>Table1[[#This Row],[total_price]]/Table1[[#This Row],[qty]]</f>
        <v>19.989999999999998</v>
      </c>
      <c r="AF61">
        <f t="shared" si="0"/>
        <v>19.989999999999998</v>
      </c>
      <c r="AG61">
        <f>IF(ROW()=2, "", AVERAGE(D$2:D60))</f>
        <v>8.8813559322033893</v>
      </c>
    </row>
    <row r="62" spans="1:33" x14ac:dyDescent="0.25">
      <c r="A62" t="s">
        <v>37</v>
      </c>
      <c r="B62" t="s">
        <v>38</v>
      </c>
      <c r="C62" s="1">
        <v>42739</v>
      </c>
      <c r="D62">
        <v>13</v>
      </c>
      <c r="E62">
        <v>259.87</v>
      </c>
      <c r="F62">
        <v>18.03846154</v>
      </c>
      <c r="G62">
        <v>19.989999999999998</v>
      </c>
      <c r="H62">
        <v>48</v>
      </c>
      <c r="I62">
        <v>575</v>
      </c>
      <c r="J62">
        <v>1</v>
      </c>
      <c r="K62">
        <v>100</v>
      </c>
      <c r="L62">
        <v>4.3</v>
      </c>
      <c r="M62">
        <v>23</v>
      </c>
      <c r="N62">
        <v>20</v>
      </c>
      <c r="O62">
        <v>10</v>
      </c>
      <c r="P62">
        <v>2</v>
      </c>
      <c r="Q62">
        <v>4</v>
      </c>
      <c r="R62">
        <v>2017</v>
      </c>
      <c r="S62">
        <v>5.7777777779999999</v>
      </c>
      <c r="T62">
        <v>4500</v>
      </c>
      <c r="U62">
        <v>19.989999999999998</v>
      </c>
      <c r="V62">
        <v>4.3</v>
      </c>
      <c r="W62">
        <v>18.03846154</v>
      </c>
      <c r="X62">
        <v>19.989999999999998</v>
      </c>
      <c r="Y62">
        <v>4.3</v>
      </c>
      <c r="Z62">
        <v>18.03846154</v>
      </c>
      <c r="AA62">
        <v>64.989999999999995</v>
      </c>
      <c r="AB62">
        <v>3.9</v>
      </c>
      <c r="AC62">
        <v>15.16888889</v>
      </c>
      <c r="AD62">
        <v>19.989999999999998</v>
      </c>
      <c r="AE62">
        <f>Table1[[#This Row],[total_price]]/Table1[[#This Row],[qty]]</f>
        <v>19.990000000000002</v>
      </c>
      <c r="AF62">
        <f t="shared" si="0"/>
        <v>19.989999999999998</v>
      </c>
      <c r="AG62">
        <f>IF(ROW()=2, "", AVERAGE(D$2:D61))</f>
        <v>8.8833333333333329</v>
      </c>
    </row>
    <row r="63" spans="1:33" x14ac:dyDescent="0.25">
      <c r="A63" t="s">
        <v>37</v>
      </c>
      <c r="B63" t="s">
        <v>38</v>
      </c>
      <c r="C63" s="1">
        <v>42740</v>
      </c>
      <c r="D63">
        <v>16</v>
      </c>
      <c r="E63">
        <v>319.83999999999997</v>
      </c>
      <c r="F63">
        <v>14.8475</v>
      </c>
      <c r="G63">
        <v>19.989999999999998</v>
      </c>
      <c r="H63">
        <v>48</v>
      </c>
      <c r="I63">
        <v>575</v>
      </c>
      <c r="J63">
        <v>1</v>
      </c>
      <c r="K63">
        <v>100</v>
      </c>
      <c r="L63">
        <v>4.3</v>
      </c>
      <c r="M63">
        <v>41</v>
      </c>
      <c r="N63">
        <v>23</v>
      </c>
      <c r="O63">
        <v>8</v>
      </c>
      <c r="P63">
        <v>1</v>
      </c>
      <c r="Q63">
        <v>5</v>
      </c>
      <c r="R63">
        <v>2017</v>
      </c>
      <c r="S63">
        <v>9.8055555559999998</v>
      </c>
      <c r="T63">
        <v>4500</v>
      </c>
      <c r="U63">
        <v>19.989999999999998</v>
      </c>
      <c r="V63">
        <v>4.3</v>
      </c>
      <c r="W63">
        <v>14.8475</v>
      </c>
      <c r="X63">
        <v>89.99</v>
      </c>
      <c r="Y63">
        <v>4.0999999999999996</v>
      </c>
      <c r="Z63">
        <v>16.098333329999999</v>
      </c>
      <c r="AA63">
        <v>64.989999999999995</v>
      </c>
      <c r="AB63">
        <v>3.9</v>
      </c>
      <c r="AC63">
        <v>14.811875000000001</v>
      </c>
      <c r="AD63">
        <v>19.989999999999998</v>
      </c>
      <c r="AE63">
        <f>Table1[[#This Row],[total_price]]/Table1[[#This Row],[qty]]</f>
        <v>19.989999999999998</v>
      </c>
      <c r="AF63">
        <f t="shared" si="0"/>
        <v>19.990000000000002</v>
      </c>
      <c r="AG63">
        <f>IF(ROW()=2, "", AVERAGE(D$2:D62))</f>
        <v>8.9508196721311482</v>
      </c>
    </row>
    <row r="64" spans="1:33" x14ac:dyDescent="0.25">
      <c r="A64" t="s">
        <v>37</v>
      </c>
      <c r="B64" t="s">
        <v>38</v>
      </c>
      <c r="C64" s="1">
        <v>42741</v>
      </c>
      <c r="D64">
        <v>21</v>
      </c>
      <c r="E64">
        <v>419.79</v>
      </c>
      <c r="F64">
        <v>12.68333333</v>
      </c>
      <c r="G64">
        <v>19.989999999999998</v>
      </c>
      <c r="H64">
        <v>48</v>
      </c>
      <c r="I64">
        <v>575</v>
      </c>
      <c r="J64">
        <v>1</v>
      </c>
      <c r="K64">
        <v>100</v>
      </c>
      <c r="L64">
        <v>4.3</v>
      </c>
      <c r="M64">
        <v>53</v>
      </c>
      <c r="N64">
        <v>22</v>
      </c>
      <c r="O64">
        <v>8</v>
      </c>
      <c r="P64">
        <v>1</v>
      </c>
      <c r="Q64">
        <v>6</v>
      </c>
      <c r="R64">
        <v>2017</v>
      </c>
      <c r="S64">
        <v>7.345238095</v>
      </c>
      <c r="T64">
        <v>4500</v>
      </c>
      <c r="U64">
        <v>19.989999999999998</v>
      </c>
      <c r="V64">
        <v>4.3</v>
      </c>
      <c r="W64">
        <v>12.68333333</v>
      </c>
      <c r="X64">
        <v>89.99</v>
      </c>
      <c r="Y64">
        <v>4.0999999999999996</v>
      </c>
      <c r="Z64">
        <v>14.16333333</v>
      </c>
      <c r="AA64">
        <v>58.799523809999997</v>
      </c>
      <c r="AB64">
        <v>3.9</v>
      </c>
      <c r="AC64">
        <v>13.903333330000001</v>
      </c>
      <c r="AD64">
        <v>19.989999999999998</v>
      </c>
      <c r="AE64">
        <f>Table1[[#This Row],[total_price]]/Table1[[#This Row],[qty]]</f>
        <v>19.990000000000002</v>
      </c>
      <c r="AF64">
        <f t="shared" si="0"/>
        <v>19.989999999999998</v>
      </c>
      <c r="AG64">
        <f>IF(ROW()=2, "", AVERAGE(D$2:D63))</f>
        <v>9.064516129032258</v>
      </c>
    </row>
    <row r="65" spans="1:33" x14ac:dyDescent="0.25">
      <c r="A65" t="s">
        <v>37</v>
      </c>
      <c r="B65" t="s">
        <v>38</v>
      </c>
      <c r="C65" s="1">
        <v>42742</v>
      </c>
      <c r="D65">
        <v>29</v>
      </c>
      <c r="E65">
        <v>579.71</v>
      </c>
      <c r="F65">
        <v>11.135172409999999</v>
      </c>
      <c r="G65">
        <v>19.989999999999998</v>
      </c>
      <c r="H65">
        <v>48</v>
      </c>
      <c r="I65">
        <v>575</v>
      </c>
      <c r="J65">
        <v>1</v>
      </c>
      <c r="K65">
        <v>100</v>
      </c>
      <c r="L65">
        <v>4.3</v>
      </c>
      <c r="M65">
        <v>61</v>
      </c>
      <c r="N65">
        <v>21</v>
      </c>
      <c r="O65">
        <v>10</v>
      </c>
      <c r="P65">
        <v>1</v>
      </c>
      <c r="Q65">
        <v>7</v>
      </c>
      <c r="R65">
        <v>2017</v>
      </c>
      <c r="S65">
        <v>9.1230158729999999</v>
      </c>
      <c r="T65">
        <v>4500</v>
      </c>
      <c r="U65">
        <v>19.989999999999998</v>
      </c>
      <c r="V65">
        <v>4.3</v>
      </c>
      <c r="W65">
        <v>11.135172409999999</v>
      </c>
      <c r="X65">
        <v>89.99</v>
      </c>
      <c r="Y65">
        <v>4.0999999999999996</v>
      </c>
      <c r="Z65">
        <v>12.11882353</v>
      </c>
      <c r="AA65">
        <v>59.256666670000001</v>
      </c>
      <c r="AB65">
        <v>3.9</v>
      </c>
      <c r="AC65">
        <v>17.998000000000001</v>
      </c>
      <c r="AD65">
        <v>19.989999999999998</v>
      </c>
      <c r="AE65">
        <f>Table1[[#This Row],[total_price]]/Table1[[#This Row],[qty]]</f>
        <v>19.990000000000002</v>
      </c>
      <c r="AF65">
        <f t="shared" si="0"/>
        <v>19.990000000000002</v>
      </c>
      <c r="AG65">
        <f>IF(ROW()=2, "", AVERAGE(D$2:D64))</f>
        <v>9.2539682539682548</v>
      </c>
    </row>
    <row r="66" spans="1:33" x14ac:dyDescent="0.25">
      <c r="A66" t="s">
        <v>37</v>
      </c>
      <c r="B66" t="s">
        <v>38</v>
      </c>
      <c r="C66" s="1">
        <v>42743</v>
      </c>
      <c r="D66">
        <v>28</v>
      </c>
      <c r="E66">
        <v>651.72</v>
      </c>
      <c r="F66">
        <v>14.27678571</v>
      </c>
      <c r="G66">
        <v>23.39740741</v>
      </c>
      <c r="H66">
        <v>48</v>
      </c>
      <c r="I66">
        <v>575</v>
      </c>
      <c r="J66">
        <v>1</v>
      </c>
      <c r="K66">
        <v>100</v>
      </c>
      <c r="L66">
        <v>4.3</v>
      </c>
      <c r="M66">
        <v>82</v>
      </c>
      <c r="N66">
        <v>23</v>
      </c>
      <c r="O66">
        <v>8</v>
      </c>
      <c r="P66">
        <v>1</v>
      </c>
      <c r="Q66">
        <v>8</v>
      </c>
      <c r="R66">
        <v>2017</v>
      </c>
      <c r="S66">
        <v>8.0079365080000002</v>
      </c>
      <c r="T66">
        <v>4500</v>
      </c>
      <c r="U66">
        <v>23.39740741</v>
      </c>
      <c r="V66">
        <v>4.3</v>
      </c>
      <c r="W66">
        <v>14.27678571</v>
      </c>
      <c r="X66">
        <v>89.99</v>
      </c>
      <c r="Y66">
        <v>4.0999999999999996</v>
      </c>
      <c r="Z66">
        <v>13.410555560000001</v>
      </c>
      <c r="AA66">
        <v>58.99</v>
      </c>
      <c r="AB66">
        <v>3.9</v>
      </c>
      <c r="AC66">
        <v>16.240909089999999</v>
      </c>
      <c r="AD66">
        <v>19.989999999999998</v>
      </c>
      <c r="AE66">
        <f>Table1[[#This Row],[total_price]]/Table1[[#This Row],[qty]]</f>
        <v>23.275714285714287</v>
      </c>
      <c r="AF66">
        <f t="shared" ref="AF66:AF129" si="1">IF(A66=A65,AE65,"")</f>
        <v>19.990000000000002</v>
      </c>
      <c r="AG66">
        <f>IF(ROW()=2, "", AVERAGE(D$2:D65))</f>
        <v>9.5625</v>
      </c>
    </row>
    <row r="67" spans="1:33" x14ac:dyDescent="0.25">
      <c r="A67" t="s">
        <v>37</v>
      </c>
      <c r="B67" t="s">
        <v>38</v>
      </c>
      <c r="C67" s="1">
        <v>42744</v>
      </c>
      <c r="D67">
        <v>24</v>
      </c>
      <c r="E67">
        <v>575.76</v>
      </c>
      <c r="F67">
        <v>16.12</v>
      </c>
      <c r="G67">
        <v>23.99</v>
      </c>
      <c r="H67">
        <v>48</v>
      </c>
      <c r="I67">
        <v>575</v>
      </c>
      <c r="J67">
        <v>1</v>
      </c>
      <c r="K67">
        <v>100</v>
      </c>
      <c r="L67">
        <v>4.3</v>
      </c>
      <c r="M67">
        <v>89</v>
      </c>
      <c r="N67">
        <v>21</v>
      </c>
      <c r="O67">
        <v>9</v>
      </c>
      <c r="P67">
        <v>1</v>
      </c>
      <c r="Q67">
        <v>9</v>
      </c>
      <c r="R67">
        <v>2017</v>
      </c>
      <c r="S67">
        <v>10.66666667</v>
      </c>
      <c r="T67">
        <v>4500</v>
      </c>
      <c r="U67">
        <v>23.99</v>
      </c>
      <c r="V67">
        <v>4.3</v>
      </c>
      <c r="W67">
        <v>16.12</v>
      </c>
      <c r="X67">
        <v>89.99</v>
      </c>
      <c r="Y67">
        <v>4.0999999999999996</v>
      </c>
      <c r="Z67">
        <v>13.96428571</v>
      </c>
      <c r="AA67">
        <v>58.99</v>
      </c>
      <c r="AB67">
        <v>3.9</v>
      </c>
      <c r="AC67">
        <v>15.639200000000001</v>
      </c>
      <c r="AD67">
        <v>23.39740741</v>
      </c>
      <c r="AE67">
        <f>Table1[[#This Row],[total_price]]/Table1[[#This Row],[qty]]</f>
        <v>23.99</v>
      </c>
      <c r="AF67">
        <f t="shared" si="1"/>
        <v>23.275714285714287</v>
      </c>
      <c r="AG67">
        <f>IF(ROW()=2, "", AVERAGE(D$2:D66))</f>
        <v>9.8461538461538467</v>
      </c>
    </row>
    <row r="68" spans="1:33" x14ac:dyDescent="0.25">
      <c r="A68" t="s">
        <v>37</v>
      </c>
      <c r="B68" t="s">
        <v>38</v>
      </c>
      <c r="C68" s="1">
        <v>42745</v>
      </c>
      <c r="D68">
        <v>27</v>
      </c>
      <c r="E68">
        <v>647.73</v>
      </c>
      <c r="F68">
        <v>13.13666667</v>
      </c>
      <c r="G68">
        <v>23.99</v>
      </c>
      <c r="H68">
        <v>48</v>
      </c>
      <c r="I68">
        <v>575</v>
      </c>
      <c r="J68">
        <v>1</v>
      </c>
      <c r="K68">
        <v>100</v>
      </c>
      <c r="L68">
        <v>4.3</v>
      </c>
      <c r="M68">
        <v>81</v>
      </c>
      <c r="N68">
        <v>22</v>
      </c>
      <c r="O68">
        <v>9</v>
      </c>
      <c r="P68">
        <v>2</v>
      </c>
      <c r="Q68">
        <v>10</v>
      </c>
      <c r="R68">
        <v>2017</v>
      </c>
      <c r="S68">
        <v>12</v>
      </c>
      <c r="T68">
        <v>4500</v>
      </c>
      <c r="U68">
        <v>23.99</v>
      </c>
      <c r="V68">
        <v>4.3</v>
      </c>
      <c r="W68">
        <v>13.13666667</v>
      </c>
      <c r="X68">
        <v>89.99</v>
      </c>
      <c r="Y68">
        <v>4.0999999999999996</v>
      </c>
      <c r="Z68">
        <v>16.56291667</v>
      </c>
      <c r="AA68">
        <v>58.99</v>
      </c>
      <c r="AB68">
        <v>3.9</v>
      </c>
      <c r="AC68">
        <v>19.065263160000001</v>
      </c>
      <c r="AD68">
        <v>23.99</v>
      </c>
      <c r="AE68">
        <f>Table1[[#This Row],[total_price]]/Table1[[#This Row],[qty]]</f>
        <v>23.990000000000002</v>
      </c>
      <c r="AF68">
        <f t="shared" si="1"/>
        <v>23.99</v>
      </c>
      <c r="AG68">
        <f>IF(ROW()=2, "", AVERAGE(D$2:D67))</f>
        <v>10.060606060606061</v>
      </c>
    </row>
    <row r="69" spans="1:33" x14ac:dyDescent="0.25">
      <c r="A69" t="s">
        <v>37</v>
      </c>
      <c r="B69" t="s">
        <v>38</v>
      </c>
      <c r="C69" s="1">
        <v>42746</v>
      </c>
      <c r="D69">
        <v>28</v>
      </c>
      <c r="E69">
        <v>671.72</v>
      </c>
      <c r="F69">
        <v>12.37535714</v>
      </c>
      <c r="G69">
        <v>23.99</v>
      </c>
      <c r="H69">
        <v>48</v>
      </c>
      <c r="I69">
        <v>575</v>
      </c>
      <c r="J69">
        <v>1</v>
      </c>
      <c r="K69">
        <v>100</v>
      </c>
      <c r="L69">
        <v>4.3</v>
      </c>
      <c r="M69">
        <v>139</v>
      </c>
      <c r="N69">
        <v>22</v>
      </c>
      <c r="O69">
        <v>8</v>
      </c>
      <c r="P69">
        <v>4</v>
      </c>
      <c r="Q69">
        <v>11</v>
      </c>
      <c r="R69">
        <v>2017</v>
      </c>
      <c r="S69">
        <v>12.44444444</v>
      </c>
      <c r="T69">
        <v>4500</v>
      </c>
      <c r="U69">
        <v>23.99</v>
      </c>
      <c r="V69">
        <v>4.3</v>
      </c>
      <c r="W69">
        <v>12.37535714</v>
      </c>
      <c r="X69">
        <v>89.99</v>
      </c>
      <c r="Y69">
        <v>4.0999999999999996</v>
      </c>
      <c r="Z69">
        <v>16.99038462</v>
      </c>
      <c r="AA69">
        <v>58.99</v>
      </c>
      <c r="AB69">
        <v>3.9</v>
      </c>
      <c r="AC69">
        <v>15.71166667</v>
      </c>
      <c r="AD69">
        <v>23.99</v>
      </c>
      <c r="AE69">
        <f>Table1[[#This Row],[total_price]]/Table1[[#This Row],[qty]]</f>
        <v>23.990000000000002</v>
      </c>
      <c r="AF69">
        <f t="shared" si="1"/>
        <v>23.990000000000002</v>
      </c>
      <c r="AG69">
        <f>IF(ROW()=2, "", AVERAGE(D$2:D68))</f>
        <v>10.313432835820896</v>
      </c>
    </row>
    <row r="70" spans="1:33" x14ac:dyDescent="0.25">
      <c r="A70" t="s">
        <v>37</v>
      </c>
      <c r="B70" t="s">
        <v>38</v>
      </c>
      <c r="C70" s="1">
        <v>42747</v>
      </c>
      <c r="D70">
        <v>19</v>
      </c>
      <c r="E70">
        <v>455.81</v>
      </c>
      <c r="F70">
        <v>12.45684211</v>
      </c>
      <c r="G70">
        <v>23.99</v>
      </c>
      <c r="H70">
        <v>48</v>
      </c>
      <c r="I70">
        <v>575</v>
      </c>
      <c r="J70">
        <v>1</v>
      </c>
      <c r="K70">
        <v>100</v>
      </c>
      <c r="L70">
        <v>4.3</v>
      </c>
      <c r="M70">
        <v>112</v>
      </c>
      <c r="N70">
        <v>21</v>
      </c>
      <c r="O70">
        <v>10</v>
      </c>
      <c r="P70">
        <v>1</v>
      </c>
      <c r="Q70">
        <v>12</v>
      </c>
      <c r="R70">
        <v>2017</v>
      </c>
      <c r="S70">
        <v>8.4444444440000002</v>
      </c>
      <c r="T70">
        <v>4500</v>
      </c>
      <c r="U70">
        <v>23.99</v>
      </c>
      <c r="V70">
        <v>4.3</v>
      </c>
      <c r="W70">
        <v>12.45684211</v>
      </c>
      <c r="X70">
        <v>89.99</v>
      </c>
      <c r="Y70">
        <v>4.0999999999999996</v>
      </c>
      <c r="Z70">
        <v>15.89473684</v>
      </c>
      <c r="AA70">
        <v>58.99</v>
      </c>
      <c r="AB70">
        <v>3.9</v>
      </c>
      <c r="AC70">
        <v>16.332222219999998</v>
      </c>
      <c r="AD70">
        <v>23.99</v>
      </c>
      <c r="AE70">
        <f>Table1[[#This Row],[total_price]]/Table1[[#This Row],[qty]]</f>
        <v>23.99</v>
      </c>
      <c r="AF70">
        <f t="shared" si="1"/>
        <v>23.990000000000002</v>
      </c>
      <c r="AG70">
        <f>IF(ROW()=2, "", AVERAGE(D$2:D69))</f>
        <v>10.573529411764707</v>
      </c>
    </row>
    <row r="71" spans="1:33" x14ac:dyDescent="0.25">
      <c r="A71" t="s">
        <v>37</v>
      </c>
      <c r="B71" t="s">
        <v>38</v>
      </c>
      <c r="C71" s="1">
        <v>43101</v>
      </c>
      <c r="D71">
        <v>19</v>
      </c>
      <c r="E71">
        <v>455.81</v>
      </c>
      <c r="F71">
        <v>11.28736842</v>
      </c>
      <c r="G71">
        <v>23.99</v>
      </c>
      <c r="H71">
        <v>48</v>
      </c>
      <c r="I71">
        <v>575</v>
      </c>
      <c r="J71">
        <v>1</v>
      </c>
      <c r="K71">
        <v>100</v>
      </c>
      <c r="L71">
        <v>4.3</v>
      </c>
      <c r="M71">
        <v>98</v>
      </c>
      <c r="N71">
        <v>23</v>
      </c>
      <c r="O71">
        <v>8</v>
      </c>
      <c r="P71">
        <v>2</v>
      </c>
      <c r="Q71">
        <v>1</v>
      </c>
      <c r="R71">
        <v>2018</v>
      </c>
      <c r="S71">
        <v>33.928571429999998</v>
      </c>
      <c r="T71">
        <v>4500</v>
      </c>
      <c r="U71">
        <v>23.99</v>
      </c>
      <c r="V71">
        <v>4.3</v>
      </c>
      <c r="W71">
        <v>11.28736842</v>
      </c>
      <c r="X71">
        <v>89.99</v>
      </c>
      <c r="Y71">
        <v>4.0999999999999996</v>
      </c>
      <c r="Z71">
        <v>14.811</v>
      </c>
      <c r="AA71">
        <v>58.99</v>
      </c>
      <c r="AB71">
        <v>3.9</v>
      </c>
      <c r="AC71">
        <v>22.678333330000001</v>
      </c>
      <c r="AD71">
        <v>23.99</v>
      </c>
      <c r="AE71">
        <f>Table1[[#This Row],[total_price]]/Table1[[#This Row],[qty]]</f>
        <v>23.99</v>
      </c>
      <c r="AF71">
        <f t="shared" si="1"/>
        <v>23.99</v>
      </c>
      <c r="AG71">
        <f>IF(ROW()=2, "", AVERAGE(D$2:D70))</f>
        <v>10.695652173913043</v>
      </c>
    </row>
    <row r="72" spans="1:33" x14ac:dyDescent="0.25">
      <c r="A72" t="s">
        <v>37</v>
      </c>
      <c r="B72" t="s">
        <v>38</v>
      </c>
      <c r="C72" s="1">
        <v>43102</v>
      </c>
      <c r="D72">
        <v>14</v>
      </c>
      <c r="E72">
        <v>335.86</v>
      </c>
      <c r="F72">
        <v>12.55</v>
      </c>
      <c r="G72">
        <v>23.99</v>
      </c>
      <c r="H72">
        <v>48</v>
      </c>
      <c r="I72">
        <v>575</v>
      </c>
      <c r="J72">
        <v>1</v>
      </c>
      <c r="K72">
        <v>100</v>
      </c>
      <c r="L72">
        <v>4.3</v>
      </c>
      <c r="M72">
        <v>126</v>
      </c>
      <c r="N72">
        <v>20</v>
      </c>
      <c r="O72">
        <v>8</v>
      </c>
      <c r="P72">
        <v>2</v>
      </c>
      <c r="Q72">
        <v>2</v>
      </c>
      <c r="R72">
        <v>2018</v>
      </c>
      <c r="S72">
        <v>14.94444444</v>
      </c>
      <c r="T72">
        <v>4500</v>
      </c>
      <c r="U72">
        <v>23.99</v>
      </c>
      <c r="V72">
        <v>4.3</v>
      </c>
      <c r="W72">
        <v>12.55</v>
      </c>
      <c r="X72">
        <v>89.99</v>
      </c>
      <c r="Y72">
        <v>4.0999999999999996</v>
      </c>
      <c r="Z72">
        <v>16.307647060000001</v>
      </c>
      <c r="AA72">
        <v>58.99</v>
      </c>
      <c r="AB72">
        <v>3.9</v>
      </c>
      <c r="AC72">
        <v>19.574999999999999</v>
      </c>
      <c r="AD72">
        <v>23.99</v>
      </c>
      <c r="AE72">
        <f>Table1[[#This Row],[total_price]]/Table1[[#This Row],[qty]]</f>
        <v>23.990000000000002</v>
      </c>
      <c r="AF72">
        <f t="shared" si="1"/>
        <v>23.99</v>
      </c>
      <c r="AG72">
        <f>IF(ROW()=2, "", AVERAGE(D$2:D71))</f>
        <v>10.814285714285715</v>
      </c>
    </row>
    <row r="73" spans="1:33" x14ac:dyDescent="0.25">
      <c r="A73" t="s">
        <v>37</v>
      </c>
      <c r="B73" t="s">
        <v>38</v>
      </c>
      <c r="C73" s="1">
        <v>43103</v>
      </c>
      <c r="D73">
        <v>8</v>
      </c>
      <c r="E73">
        <v>191.92</v>
      </c>
      <c r="F73">
        <v>14.19875</v>
      </c>
      <c r="G73">
        <v>23.99</v>
      </c>
      <c r="H73">
        <v>48</v>
      </c>
      <c r="I73">
        <v>575</v>
      </c>
      <c r="J73">
        <v>1</v>
      </c>
      <c r="K73">
        <v>100</v>
      </c>
      <c r="L73">
        <v>4.3</v>
      </c>
      <c r="M73">
        <v>169</v>
      </c>
      <c r="N73">
        <v>22</v>
      </c>
      <c r="O73">
        <v>9</v>
      </c>
      <c r="P73">
        <v>1</v>
      </c>
      <c r="Q73">
        <v>3</v>
      </c>
      <c r="R73">
        <v>2018</v>
      </c>
      <c r="S73">
        <v>9.1428571430000005</v>
      </c>
      <c r="T73">
        <v>4500</v>
      </c>
      <c r="U73">
        <v>23.99</v>
      </c>
      <c r="V73">
        <v>4.3</v>
      </c>
      <c r="W73">
        <v>14.19875</v>
      </c>
      <c r="X73">
        <v>83.74</v>
      </c>
      <c r="Y73">
        <v>4.0999999999999996</v>
      </c>
      <c r="Z73">
        <v>11.876875</v>
      </c>
      <c r="AA73">
        <v>58.99</v>
      </c>
      <c r="AB73">
        <v>3.9</v>
      </c>
      <c r="AC73">
        <v>15.228</v>
      </c>
      <c r="AD73">
        <v>23.99</v>
      </c>
      <c r="AE73">
        <f>Table1[[#This Row],[total_price]]/Table1[[#This Row],[qty]]</f>
        <v>23.99</v>
      </c>
      <c r="AF73">
        <f t="shared" si="1"/>
        <v>23.990000000000002</v>
      </c>
      <c r="AG73">
        <f>IF(ROW()=2, "", AVERAGE(D$2:D72))</f>
        <v>10.859154929577464</v>
      </c>
    </row>
    <row r="74" spans="1:33" x14ac:dyDescent="0.25">
      <c r="A74" t="s">
        <v>37</v>
      </c>
      <c r="B74" t="s">
        <v>38</v>
      </c>
      <c r="C74" s="1">
        <v>43105</v>
      </c>
      <c r="D74">
        <v>7</v>
      </c>
      <c r="E74">
        <v>167.93</v>
      </c>
      <c r="F74">
        <v>7.9885714290000003</v>
      </c>
      <c r="G74">
        <v>23.99</v>
      </c>
      <c r="H74">
        <v>48</v>
      </c>
      <c r="I74">
        <v>575</v>
      </c>
      <c r="J74">
        <v>1</v>
      </c>
      <c r="K74">
        <v>100</v>
      </c>
      <c r="L74">
        <v>4.3</v>
      </c>
      <c r="M74">
        <v>159</v>
      </c>
      <c r="N74">
        <v>23</v>
      </c>
      <c r="O74">
        <v>8</v>
      </c>
      <c r="P74">
        <v>3</v>
      </c>
      <c r="Q74">
        <v>5</v>
      </c>
      <c r="R74">
        <v>2018</v>
      </c>
      <c r="S74">
        <v>9.8055555559999998</v>
      </c>
      <c r="T74">
        <v>4500</v>
      </c>
      <c r="U74">
        <v>23.99</v>
      </c>
      <c r="V74">
        <v>4.3</v>
      </c>
      <c r="W74">
        <v>7.9885714290000003</v>
      </c>
      <c r="X74">
        <v>79.989999999999995</v>
      </c>
      <c r="Y74">
        <v>4.0999999999999996</v>
      </c>
      <c r="Z74">
        <v>21.943124999999998</v>
      </c>
      <c r="AA74">
        <v>58.99</v>
      </c>
      <c r="AB74">
        <v>3.9</v>
      </c>
      <c r="AC74">
        <v>9.4224999999999994</v>
      </c>
      <c r="AD74">
        <v>23.94</v>
      </c>
      <c r="AE74">
        <f>Table1[[#This Row],[total_price]]/Table1[[#This Row],[qty]]</f>
        <v>23.990000000000002</v>
      </c>
      <c r="AF74">
        <f t="shared" si="1"/>
        <v>23.99</v>
      </c>
      <c r="AG74">
        <f>IF(ROW()=2, "", AVERAGE(D$2:D73))</f>
        <v>10.819444444444445</v>
      </c>
    </row>
    <row r="75" spans="1:33" x14ac:dyDescent="0.25">
      <c r="A75" t="s">
        <v>37</v>
      </c>
      <c r="B75" t="s">
        <v>38</v>
      </c>
      <c r="C75" s="1">
        <v>43106</v>
      </c>
      <c r="D75">
        <v>3</v>
      </c>
      <c r="E75">
        <v>71.97</v>
      </c>
      <c r="F75">
        <v>16.27</v>
      </c>
      <c r="G75">
        <v>23.99</v>
      </c>
      <c r="H75">
        <v>48</v>
      </c>
      <c r="I75">
        <v>575</v>
      </c>
      <c r="J75">
        <v>1</v>
      </c>
      <c r="K75">
        <v>100</v>
      </c>
      <c r="L75">
        <v>4.3</v>
      </c>
      <c r="M75">
        <v>131</v>
      </c>
      <c r="N75">
        <v>21</v>
      </c>
      <c r="O75">
        <v>9</v>
      </c>
      <c r="P75">
        <v>0</v>
      </c>
      <c r="Q75">
        <v>6</v>
      </c>
      <c r="R75">
        <v>2018</v>
      </c>
      <c r="S75">
        <v>7.345238095</v>
      </c>
      <c r="T75">
        <v>4500</v>
      </c>
      <c r="U75">
        <v>23.99</v>
      </c>
      <c r="V75">
        <v>4.3</v>
      </c>
      <c r="W75">
        <v>16.27</v>
      </c>
      <c r="X75">
        <v>79.989999999999995</v>
      </c>
      <c r="Y75">
        <v>4.0999999999999996</v>
      </c>
      <c r="Z75">
        <v>13.36230769</v>
      </c>
      <c r="AA75">
        <v>58.99</v>
      </c>
      <c r="AB75">
        <v>3.9</v>
      </c>
      <c r="AC75">
        <v>16.43</v>
      </c>
      <c r="AD75">
        <v>23.99</v>
      </c>
      <c r="AE75">
        <f>Table1[[#This Row],[total_price]]/Table1[[#This Row],[qty]]</f>
        <v>23.99</v>
      </c>
      <c r="AF75">
        <f t="shared" si="1"/>
        <v>23.990000000000002</v>
      </c>
      <c r="AG75">
        <f>IF(ROW()=2, "", AVERAGE(D$2:D74))</f>
        <v>10.767123287671232</v>
      </c>
    </row>
    <row r="76" spans="1:33" x14ac:dyDescent="0.25">
      <c r="A76" t="s">
        <v>37</v>
      </c>
      <c r="B76" t="s">
        <v>38</v>
      </c>
      <c r="C76" s="1">
        <v>43107</v>
      </c>
      <c r="D76">
        <v>3</v>
      </c>
      <c r="E76">
        <v>71.97</v>
      </c>
      <c r="F76">
        <v>18.809999999999999</v>
      </c>
      <c r="G76">
        <v>23.99</v>
      </c>
      <c r="H76">
        <v>48</v>
      </c>
      <c r="I76">
        <v>575</v>
      </c>
      <c r="J76">
        <v>1</v>
      </c>
      <c r="K76">
        <v>100</v>
      </c>
      <c r="L76">
        <v>4.3</v>
      </c>
      <c r="M76">
        <v>113</v>
      </c>
      <c r="N76">
        <v>22</v>
      </c>
      <c r="O76">
        <v>9</v>
      </c>
      <c r="P76">
        <v>1</v>
      </c>
      <c r="Q76">
        <v>7</v>
      </c>
      <c r="R76">
        <v>2018</v>
      </c>
      <c r="S76">
        <v>9.1230158729999999</v>
      </c>
      <c r="T76">
        <v>4500</v>
      </c>
      <c r="U76">
        <v>23.99</v>
      </c>
      <c r="V76">
        <v>4.3</v>
      </c>
      <c r="W76">
        <v>18.809999999999999</v>
      </c>
      <c r="X76">
        <v>79.989999999999995</v>
      </c>
      <c r="Y76">
        <v>4.0999999999999996</v>
      </c>
      <c r="Z76">
        <v>16.745000000000001</v>
      </c>
      <c r="AA76">
        <v>58.99</v>
      </c>
      <c r="AB76">
        <v>3.9</v>
      </c>
      <c r="AC76">
        <v>7.67</v>
      </c>
      <c r="AD76">
        <v>23.99</v>
      </c>
      <c r="AE76">
        <f>Table1[[#This Row],[total_price]]/Table1[[#This Row],[qty]]</f>
        <v>23.99</v>
      </c>
      <c r="AF76">
        <f t="shared" si="1"/>
        <v>23.99</v>
      </c>
      <c r="AG76">
        <f>IF(ROW()=2, "", AVERAGE(D$2:D75))</f>
        <v>10.662162162162161</v>
      </c>
    </row>
    <row r="77" spans="1:33" x14ac:dyDescent="0.25">
      <c r="A77" t="s">
        <v>37</v>
      </c>
      <c r="B77" t="s">
        <v>38</v>
      </c>
      <c r="C77" s="1">
        <v>43108</v>
      </c>
      <c r="D77">
        <v>2</v>
      </c>
      <c r="E77">
        <v>47.98</v>
      </c>
      <c r="F77">
        <v>16.77</v>
      </c>
      <c r="G77">
        <v>23.99</v>
      </c>
      <c r="H77">
        <v>48</v>
      </c>
      <c r="I77">
        <v>575</v>
      </c>
      <c r="J77">
        <v>1</v>
      </c>
      <c r="K77">
        <v>100</v>
      </c>
      <c r="L77">
        <v>4.3</v>
      </c>
      <c r="M77">
        <v>127</v>
      </c>
      <c r="N77">
        <v>23</v>
      </c>
      <c r="O77">
        <v>8</v>
      </c>
      <c r="P77">
        <v>1</v>
      </c>
      <c r="Q77">
        <v>8</v>
      </c>
      <c r="R77">
        <v>2018</v>
      </c>
      <c r="S77">
        <v>8.0079365080000002</v>
      </c>
      <c r="T77">
        <v>4500</v>
      </c>
      <c r="U77">
        <v>23.99</v>
      </c>
      <c r="V77">
        <v>4.3</v>
      </c>
      <c r="W77">
        <v>16.77</v>
      </c>
      <c r="X77">
        <v>82.821428569999995</v>
      </c>
      <c r="Y77">
        <v>4.0999999999999996</v>
      </c>
      <c r="Z77">
        <v>12.41857143</v>
      </c>
      <c r="AA77">
        <v>58.99</v>
      </c>
      <c r="AB77">
        <v>3.9</v>
      </c>
      <c r="AC77">
        <v>12.08333333</v>
      </c>
      <c r="AD77">
        <v>23.99</v>
      </c>
      <c r="AE77">
        <f>Table1[[#This Row],[total_price]]/Table1[[#This Row],[qty]]</f>
        <v>23.99</v>
      </c>
      <c r="AF77">
        <f t="shared" si="1"/>
        <v>23.99</v>
      </c>
      <c r="AG77">
        <f>IF(ROW()=2, "", AVERAGE(D$2:D76))</f>
        <v>10.56</v>
      </c>
    </row>
    <row r="78" spans="1:33" x14ac:dyDescent="0.25">
      <c r="A78" t="s">
        <v>39</v>
      </c>
      <c r="B78" t="s">
        <v>40</v>
      </c>
      <c r="C78" s="1">
        <v>42742</v>
      </c>
      <c r="D78">
        <v>1</v>
      </c>
      <c r="E78">
        <v>134.99</v>
      </c>
      <c r="F78">
        <v>15.7</v>
      </c>
      <c r="G78">
        <v>134.99</v>
      </c>
      <c r="H78">
        <v>40</v>
      </c>
      <c r="I78">
        <v>1456</v>
      </c>
      <c r="J78">
        <v>1</v>
      </c>
      <c r="K78">
        <v>2425</v>
      </c>
      <c r="L78">
        <v>3.8</v>
      </c>
      <c r="M78">
        <v>42</v>
      </c>
      <c r="N78">
        <v>21</v>
      </c>
      <c r="O78">
        <v>10</v>
      </c>
      <c r="P78">
        <v>1</v>
      </c>
      <c r="Q78">
        <v>7</v>
      </c>
      <c r="R78">
        <v>2017</v>
      </c>
      <c r="S78">
        <v>1.428571429</v>
      </c>
      <c r="T78">
        <v>16530</v>
      </c>
      <c r="U78">
        <v>99.99</v>
      </c>
      <c r="V78">
        <v>4.2</v>
      </c>
      <c r="W78">
        <v>16.529090910000001</v>
      </c>
      <c r="X78">
        <v>129.99</v>
      </c>
      <c r="Y78">
        <v>4.3</v>
      </c>
      <c r="Z78">
        <v>18.715624999999999</v>
      </c>
      <c r="AA78">
        <v>134.99</v>
      </c>
      <c r="AB78">
        <v>3.8</v>
      </c>
      <c r="AC78">
        <v>15.7</v>
      </c>
      <c r="AD78">
        <v>134.94</v>
      </c>
      <c r="AE78">
        <f>Table1[[#This Row],[total_price]]/Table1[[#This Row],[qty]]</f>
        <v>134.99</v>
      </c>
      <c r="AF78" t="str">
        <f t="shared" si="1"/>
        <v/>
      </c>
      <c r="AG78">
        <f>IF(ROW()=2, "", AVERAGE(D$2:D77))</f>
        <v>10.447368421052632</v>
      </c>
    </row>
    <row r="79" spans="1:33" x14ac:dyDescent="0.25">
      <c r="A79" t="s">
        <v>39</v>
      </c>
      <c r="B79" t="s">
        <v>40</v>
      </c>
      <c r="C79" s="1">
        <v>42743</v>
      </c>
      <c r="D79">
        <v>1</v>
      </c>
      <c r="E79">
        <v>134.99</v>
      </c>
      <c r="F79">
        <v>15.7</v>
      </c>
      <c r="G79">
        <v>134.99</v>
      </c>
      <c r="H79">
        <v>40</v>
      </c>
      <c r="I79">
        <v>1456</v>
      </c>
      <c r="J79">
        <v>1</v>
      </c>
      <c r="K79">
        <v>2425</v>
      </c>
      <c r="L79">
        <v>3.8</v>
      </c>
      <c r="M79">
        <v>39</v>
      </c>
      <c r="N79">
        <v>23</v>
      </c>
      <c r="O79">
        <v>8</v>
      </c>
      <c r="P79">
        <v>1</v>
      </c>
      <c r="Q79">
        <v>8</v>
      </c>
      <c r="R79">
        <v>2017</v>
      </c>
      <c r="S79">
        <v>1.428571429</v>
      </c>
      <c r="T79">
        <v>16530</v>
      </c>
      <c r="U79">
        <v>99.99</v>
      </c>
      <c r="V79">
        <v>4.2</v>
      </c>
      <c r="W79">
        <v>18.975000000000001</v>
      </c>
      <c r="X79">
        <v>116.92749999999999</v>
      </c>
      <c r="Y79">
        <v>4.3</v>
      </c>
      <c r="Z79">
        <v>19.021249999999998</v>
      </c>
      <c r="AA79">
        <v>134.99</v>
      </c>
      <c r="AB79">
        <v>3.8</v>
      </c>
      <c r="AC79">
        <v>15.7</v>
      </c>
      <c r="AD79">
        <v>134.99</v>
      </c>
      <c r="AE79">
        <f>Table1[[#This Row],[total_price]]/Table1[[#This Row],[qty]]</f>
        <v>134.99</v>
      </c>
      <c r="AF79">
        <f t="shared" si="1"/>
        <v>134.99</v>
      </c>
      <c r="AG79">
        <f>IF(ROW()=2, "", AVERAGE(D$2:D78))</f>
        <v>10.324675324675324</v>
      </c>
    </row>
    <row r="80" spans="1:33" x14ac:dyDescent="0.25">
      <c r="A80" t="s">
        <v>39</v>
      </c>
      <c r="B80" t="s">
        <v>40</v>
      </c>
      <c r="C80" s="1">
        <v>42745</v>
      </c>
      <c r="D80">
        <v>12</v>
      </c>
      <c r="E80">
        <v>1763.88</v>
      </c>
      <c r="F80">
        <v>18.754999999999999</v>
      </c>
      <c r="G80">
        <v>146.99</v>
      </c>
      <c r="H80">
        <v>40</v>
      </c>
      <c r="I80">
        <v>1456</v>
      </c>
      <c r="J80">
        <v>1</v>
      </c>
      <c r="K80">
        <v>2425</v>
      </c>
      <c r="L80">
        <v>3.8</v>
      </c>
      <c r="M80">
        <v>33</v>
      </c>
      <c r="N80">
        <v>22</v>
      </c>
      <c r="O80">
        <v>9</v>
      </c>
      <c r="P80">
        <v>2</v>
      </c>
      <c r="Q80">
        <v>10</v>
      </c>
      <c r="R80">
        <v>2017</v>
      </c>
      <c r="S80">
        <v>17.14285714</v>
      </c>
      <c r="T80">
        <v>16530</v>
      </c>
      <c r="U80">
        <v>99.99</v>
      </c>
      <c r="V80">
        <v>4.2</v>
      </c>
      <c r="W80">
        <v>16.95</v>
      </c>
      <c r="X80">
        <v>119.99</v>
      </c>
      <c r="Y80">
        <v>4.3</v>
      </c>
      <c r="Z80">
        <v>19.997</v>
      </c>
      <c r="AA80">
        <v>146.99</v>
      </c>
      <c r="AB80">
        <v>3.8</v>
      </c>
      <c r="AC80">
        <v>18.754999999999999</v>
      </c>
      <c r="AD80">
        <v>146.94</v>
      </c>
      <c r="AE80">
        <f>Table1[[#This Row],[total_price]]/Table1[[#This Row],[qty]]</f>
        <v>146.99</v>
      </c>
      <c r="AF80">
        <f t="shared" si="1"/>
        <v>134.99</v>
      </c>
      <c r="AG80">
        <f>IF(ROW()=2, "", AVERAGE(D$2:D79))</f>
        <v>10.205128205128204</v>
      </c>
    </row>
    <row r="81" spans="1:33" x14ac:dyDescent="0.25">
      <c r="A81" t="s">
        <v>39</v>
      </c>
      <c r="B81" t="s">
        <v>40</v>
      </c>
      <c r="C81" s="1">
        <v>42746</v>
      </c>
      <c r="D81">
        <v>27</v>
      </c>
      <c r="E81">
        <v>4248.7299999999996</v>
      </c>
      <c r="F81">
        <v>20.837037039999998</v>
      </c>
      <c r="G81">
        <v>157.36037039999999</v>
      </c>
      <c r="H81">
        <v>40</v>
      </c>
      <c r="I81">
        <v>1456</v>
      </c>
      <c r="J81">
        <v>1</v>
      </c>
      <c r="K81">
        <v>2425</v>
      </c>
      <c r="L81">
        <v>3.8</v>
      </c>
      <c r="M81">
        <v>42</v>
      </c>
      <c r="N81">
        <v>22</v>
      </c>
      <c r="O81">
        <v>8</v>
      </c>
      <c r="P81">
        <v>4</v>
      </c>
      <c r="Q81">
        <v>11</v>
      </c>
      <c r="R81">
        <v>2017</v>
      </c>
      <c r="S81">
        <v>38.571428570000002</v>
      </c>
      <c r="T81">
        <v>16530</v>
      </c>
      <c r="U81">
        <v>99.99</v>
      </c>
      <c r="V81">
        <v>4.2</v>
      </c>
      <c r="W81">
        <v>16.1875</v>
      </c>
      <c r="X81">
        <v>129.99</v>
      </c>
      <c r="Y81">
        <v>4.3</v>
      </c>
      <c r="Z81">
        <v>22.674444439999998</v>
      </c>
      <c r="AA81">
        <v>157.36037039999999</v>
      </c>
      <c r="AB81">
        <v>3.8</v>
      </c>
      <c r="AC81">
        <v>20.837037039999998</v>
      </c>
      <c r="AD81">
        <v>146.99</v>
      </c>
      <c r="AE81">
        <f>Table1[[#This Row],[total_price]]/Table1[[#This Row],[qty]]</f>
        <v>157.36037037037036</v>
      </c>
      <c r="AF81">
        <f t="shared" si="1"/>
        <v>146.99</v>
      </c>
      <c r="AG81">
        <f>IF(ROW()=2, "", AVERAGE(D$2:D80))</f>
        <v>10.227848101265822</v>
      </c>
    </row>
    <row r="82" spans="1:33" x14ac:dyDescent="0.25">
      <c r="A82" t="s">
        <v>39</v>
      </c>
      <c r="B82" t="s">
        <v>40</v>
      </c>
      <c r="C82" s="1">
        <v>42747</v>
      </c>
      <c r="D82">
        <v>29</v>
      </c>
      <c r="E82">
        <v>4842.71</v>
      </c>
      <c r="F82">
        <v>24.47137931</v>
      </c>
      <c r="G82">
        <v>166.99</v>
      </c>
      <c r="H82">
        <v>40</v>
      </c>
      <c r="I82">
        <v>1456</v>
      </c>
      <c r="J82">
        <v>1</v>
      </c>
      <c r="K82">
        <v>2425</v>
      </c>
      <c r="L82">
        <v>3.8</v>
      </c>
      <c r="M82">
        <v>38</v>
      </c>
      <c r="N82">
        <v>21</v>
      </c>
      <c r="O82">
        <v>10</v>
      </c>
      <c r="P82">
        <v>1</v>
      </c>
      <c r="Q82">
        <v>12</v>
      </c>
      <c r="R82">
        <v>2017</v>
      </c>
      <c r="S82">
        <v>41.428571429999998</v>
      </c>
      <c r="T82">
        <v>16530</v>
      </c>
      <c r="U82">
        <v>99.99</v>
      </c>
      <c r="V82">
        <v>4.2</v>
      </c>
      <c r="W82">
        <v>15.266666669999999</v>
      </c>
      <c r="X82">
        <v>129.99</v>
      </c>
      <c r="Y82">
        <v>4.3</v>
      </c>
      <c r="Z82">
        <v>25.59</v>
      </c>
      <c r="AA82">
        <v>166.99</v>
      </c>
      <c r="AB82">
        <v>3.8</v>
      </c>
      <c r="AC82">
        <v>24.47137931</v>
      </c>
      <c r="AD82">
        <v>157.36037039999999</v>
      </c>
      <c r="AE82">
        <f>Table1[[#This Row],[total_price]]/Table1[[#This Row],[qty]]</f>
        <v>166.99</v>
      </c>
      <c r="AF82">
        <f t="shared" si="1"/>
        <v>157.36037037037036</v>
      </c>
      <c r="AG82">
        <f>IF(ROW()=2, "", AVERAGE(D$2:D81))</f>
        <v>10.4375</v>
      </c>
    </row>
    <row r="83" spans="1:33" x14ac:dyDescent="0.25">
      <c r="A83" t="s">
        <v>39</v>
      </c>
      <c r="B83" t="s">
        <v>40</v>
      </c>
      <c r="C83" s="1">
        <v>43101</v>
      </c>
      <c r="D83">
        <v>13</v>
      </c>
      <c r="E83">
        <v>2170.87</v>
      </c>
      <c r="F83">
        <v>25.286153850000002</v>
      </c>
      <c r="G83">
        <v>166.99</v>
      </c>
      <c r="H83">
        <v>40</v>
      </c>
      <c r="I83">
        <v>1456</v>
      </c>
      <c r="J83">
        <v>1</v>
      </c>
      <c r="K83">
        <v>2425</v>
      </c>
      <c r="L83">
        <v>3.8</v>
      </c>
      <c r="M83">
        <v>102</v>
      </c>
      <c r="N83">
        <v>23</v>
      </c>
      <c r="O83">
        <v>8</v>
      </c>
      <c r="P83">
        <v>2</v>
      </c>
      <c r="Q83">
        <v>1</v>
      </c>
      <c r="R83">
        <v>2018</v>
      </c>
      <c r="S83">
        <v>34.21052632</v>
      </c>
      <c r="T83">
        <v>16530</v>
      </c>
      <c r="U83">
        <v>99.99</v>
      </c>
      <c r="V83">
        <v>4.2</v>
      </c>
      <c r="W83">
        <v>16.54</v>
      </c>
      <c r="X83">
        <v>129.99</v>
      </c>
      <c r="Y83">
        <v>4.3</v>
      </c>
      <c r="Z83">
        <v>17.41</v>
      </c>
      <c r="AA83">
        <v>29.5</v>
      </c>
      <c r="AB83">
        <v>4.4000000000000004</v>
      </c>
      <c r="AC83">
        <v>16.53263158</v>
      </c>
      <c r="AD83">
        <v>166.99</v>
      </c>
      <c r="AE83">
        <f>Table1[[#This Row],[total_price]]/Table1[[#This Row],[qty]]</f>
        <v>166.98999999999998</v>
      </c>
      <c r="AF83">
        <f t="shared" si="1"/>
        <v>166.99</v>
      </c>
      <c r="AG83">
        <f>IF(ROW()=2, "", AVERAGE(D$2:D82))</f>
        <v>10.666666666666666</v>
      </c>
    </row>
    <row r="84" spans="1:33" x14ac:dyDescent="0.25">
      <c r="A84" t="s">
        <v>39</v>
      </c>
      <c r="B84" t="s">
        <v>40</v>
      </c>
      <c r="C84" s="1">
        <v>43102</v>
      </c>
      <c r="D84">
        <v>8</v>
      </c>
      <c r="E84">
        <v>1415.92</v>
      </c>
      <c r="F84">
        <v>22.876249999999999</v>
      </c>
      <c r="G84">
        <v>176.99</v>
      </c>
      <c r="H84">
        <v>40</v>
      </c>
      <c r="I84">
        <v>1456</v>
      </c>
      <c r="J84">
        <v>1</v>
      </c>
      <c r="K84">
        <v>2425</v>
      </c>
      <c r="L84">
        <v>3.8</v>
      </c>
      <c r="M84">
        <v>20</v>
      </c>
      <c r="N84">
        <v>20</v>
      </c>
      <c r="O84">
        <v>8</v>
      </c>
      <c r="P84">
        <v>2</v>
      </c>
      <c r="Q84">
        <v>2</v>
      </c>
      <c r="R84">
        <v>2018</v>
      </c>
      <c r="S84">
        <v>21.05263158</v>
      </c>
      <c r="T84">
        <v>16530</v>
      </c>
      <c r="U84">
        <v>99.99</v>
      </c>
      <c r="V84">
        <v>4.2</v>
      </c>
      <c r="W84">
        <v>13.72</v>
      </c>
      <c r="X84">
        <v>129.99</v>
      </c>
      <c r="Y84">
        <v>4.3</v>
      </c>
      <c r="Z84">
        <v>16.71</v>
      </c>
      <c r="AA84">
        <v>176.99</v>
      </c>
      <c r="AB84">
        <v>3.8</v>
      </c>
      <c r="AC84">
        <v>22.876249999999999</v>
      </c>
      <c r="AD84">
        <v>166.99</v>
      </c>
      <c r="AE84">
        <f>Table1[[#This Row],[total_price]]/Table1[[#This Row],[qty]]</f>
        <v>176.99</v>
      </c>
      <c r="AF84">
        <f t="shared" si="1"/>
        <v>166.98999999999998</v>
      </c>
      <c r="AG84">
        <f>IF(ROW()=2, "", AVERAGE(D$2:D83))</f>
        <v>10.695121951219512</v>
      </c>
    </row>
    <row r="85" spans="1:33" x14ac:dyDescent="0.25">
      <c r="A85" t="s">
        <v>39</v>
      </c>
      <c r="B85" t="s">
        <v>40</v>
      </c>
      <c r="C85" s="1">
        <v>43103</v>
      </c>
      <c r="D85">
        <v>11</v>
      </c>
      <c r="E85">
        <v>1911.89</v>
      </c>
      <c r="F85">
        <v>23.954545450000001</v>
      </c>
      <c r="G85">
        <v>173.8081818</v>
      </c>
      <c r="H85">
        <v>40</v>
      </c>
      <c r="I85">
        <v>1456</v>
      </c>
      <c r="J85">
        <v>1</v>
      </c>
      <c r="K85">
        <v>2425</v>
      </c>
      <c r="L85">
        <v>3.8</v>
      </c>
      <c r="M85">
        <v>45</v>
      </c>
      <c r="N85">
        <v>22</v>
      </c>
      <c r="O85">
        <v>9</v>
      </c>
      <c r="P85">
        <v>1</v>
      </c>
      <c r="Q85">
        <v>3</v>
      </c>
      <c r="R85">
        <v>2018</v>
      </c>
      <c r="S85">
        <v>28.94736842</v>
      </c>
      <c r="T85">
        <v>16530</v>
      </c>
      <c r="U85">
        <v>99.99</v>
      </c>
      <c r="V85">
        <v>4.2</v>
      </c>
      <c r="W85">
        <v>20.78</v>
      </c>
      <c r="X85">
        <v>129.99</v>
      </c>
      <c r="Y85">
        <v>4.3</v>
      </c>
      <c r="Z85">
        <v>18.489999999999998</v>
      </c>
      <c r="AA85">
        <v>35</v>
      </c>
      <c r="AB85">
        <v>4.4000000000000004</v>
      </c>
      <c r="AC85">
        <v>16.25615385</v>
      </c>
      <c r="AD85">
        <v>176.99</v>
      </c>
      <c r="AE85">
        <f>Table1[[#This Row],[total_price]]/Table1[[#This Row],[qty]]</f>
        <v>173.80818181818182</v>
      </c>
      <c r="AF85">
        <f t="shared" si="1"/>
        <v>176.99</v>
      </c>
      <c r="AG85">
        <f>IF(ROW()=2, "", AVERAGE(D$2:D84))</f>
        <v>10.662650602409638</v>
      </c>
    </row>
    <row r="86" spans="1:33" x14ac:dyDescent="0.25">
      <c r="A86" t="s">
        <v>39</v>
      </c>
      <c r="B86" t="s">
        <v>40</v>
      </c>
      <c r="C86" s="1">
        <v>43104</v>
      </c>
      <c r="D86">
        <v>6</v>
      </c>
      <c r="E86">
        <v>1019.94</v>
      </c>
      <c r="F86">
        <v>24.87833333</v>
      </c>
      <c r="G86">
        <v>169.99</v>
      </c>
      <c r="H86">
        <v>40</v>
      </c>
      <c r="I86">
        <v>1456</v>
      </c>
      <c r="J86">
        <v>1</v>
      </c>
      <c r="K86">
        <v>2425</v>
      </c>
      <c r="L86">
        <v>3.8</v>
      </c>
      <c r="M86">
        <v>18</v>
      </c>
      <c r="N86">
        <v>21</v>
      </c>
      <c r="O86">
        <v>9</v>
      </c>
      <c r="P86">
        <v>1</v>
      </c>
      <c r="Q86">
        <v>4</v>
      </c>
      <c r="R86">
        <v>2018</v>
      </c>
      <c r="S86">
        <v>15.78947368</v>
      </c>
      <c r="T86">
        <v>16530</v>
      </c>
      <c r="U86">
        <v>89.863333330000003</v>
      </c>
      <c r="V86">
        <v>4.2</v>
      </c>
      <c r="W86">
        <v>19.876666669999999</v>
      </c>
      <c r="X86">
        <v>129.99</v>
      </c>
      <c r="Y86">
        <v>4.3</v>
      </c>
      <c r="Z86">
        <v>23.49</v>
      </c>
      <c r="AA86">
        <v>35</v>
      </c>
      <c r="AB86">
        <v>4.4000000000000004</v>
      </c>
      <c r="AC86">
        <v>14.845000000000001</v>
      </c>
      <c r="AD86">
        <v>173.8081818</v>
      </c>
      <c r="AE86">
        <f>Table1[[#This Row],[total_price]]/Table1[[#This Row],[qty]]</f>
        <v>169.99</v>
      </c>
      <c r="AF86">
        <f t="shared" si="1"/>
        <v>173.80818181818182</v>
      </c>
      <c r="AG86">
        <f>IF(ROW()=2, "", AVERAGE(D$2:D85))</f>
        <v>10.666666666666666</v>
      </c>
    </row>
    <row r="87" spans="1:33" x14ac:dyDescent="0.25">
      <c r="A87" t="s">
        <v>41</v>
      </c>
      <c r="B87" t="s">
        <v>38</v>
      </c>
      <c r="C87" s="1">
        <v>43101</v>
      </c>
      <c r="D87">
        <v>1</v>
      </c>
      <c r="E87">
        <v>110.99</v>
      </c>
      <c r="F87">
        <v>44.63</v>
      </c>
      <c r="G87">
        <v>110.99</v>
      </c>
      <c r="H87">
        <v>50</v>
      </c>
      <c r="I87">
        <v>1257</v>
      </c>
      <c r="J87">
        <v>1</v>
      </c>
      <c r="K87">
        <v>700</v>
      </c>
      <c r="L87">
        <v>4.0999999999999996</v>
      </c>
      <c r="M87">
        <v>98</v>
      </c>
      <c r="N87">
        <v>23</v>
      </c>
      <c r="O87">
        <v>8</v>
      </c>
      <c r="P87">
        <v>2</v>
      </c>
      <c r="Q87">
        <v>1</v>
      </c>
      <c r="R87">
        <v>2018</v>
      </c>
      <c r="S87">
        <v>0.64102564100000003</v>
      </c>
      <c r="T87">
        <v>5700</v>
      </c>
      <c r="U87">
        <v>23.99</v>
      </c>
      <c r="V87">
        <v>4.3</v>
      </c>
      <c r="W87">
        <v>11.28736842</v>
      </c>
      <c r="X87">
        <v>89.99</v>
      </c>
      <c r="Y87">
        <v>4.0999999999999996</v>
      </c>
      <c r="Z87">
        <v>14.811</v>
      </c>
      <c r="AA87">
        <v>58.99</v>
      </c>
      <c r="AB87">
        <v>3.9</v>
      </c>
      <c r="AC87">
        <v>22.678333330000001</v>
      </c>
      <c r="AD87">
        <v>110.94</v>
      </c>
      <c r="AE87">
        <f>Table1[[#This Row],[total_price]]/Table1[[#This Row],[qty]]</f>
        <v>110.99</v>
      </c>
      <c r="AF87" t="str">
        <f t="shared" si="1"/>
        <v/>
      </c>
      <c r="AG87">
        <f>IF(ROW()=2, "", AVERAGE(D$2:D86))</f>
        <v>10.611764705882353</v>
      </c>
    </row>
    <row r="88" spans="1:33" x14ac:dyDescent="0.25">
      <c r="A88" t="s">
        <v>41</v>
      </c>
      <c r="B88" t="s">
        <v>38</v>
      </c>
      <c r="C88" s="1">
        <v>43102</v>
      </c>
      <c r="D88">
        <v>2</v>
      </c>
      <c r="E88">
        <v>221.98</v>
      </c>
      <c r="F88">
        <v>20.55</v>
      </c>
      <c r="G88">
        <v>110.99</v>
      </c>
      <c r="H88">
        <v>50</v>
      </c>
      <c r="I88">
        <v>1257</v>
      </c>
      <c r="J88">
        <v>1</v>
      </c>
      <c r="K88">
        <v>700</v>
      </c>
      <c r="L88">
        <v>4.0999999999999996</v>
      </c>
      <c r="M88">
        <v>126</v>
      </c>
      <c r="N88">
        <v>20</v>
      </c>
      <c r="O88">
        <v>8</v>
      </c>
      <c r="P88">
        <v>2</v>
      </c>
      <c r="Q88">
        <v>2</v>
      </c>
      <c r="R88">
        <v>2018</v>
      </c>
      <c r="S88">
        <v>1.2820512820000001</v>
      </c>
      <c r="T88">
        <v>5700</v>
      </c>
      <c r="U88">
        <v>23.99</v>
      </c>
      <c r="V88">
        <v>4.3</v>
      </c>
      <c r="W88">
        <v>12.55</v>
      </c>
      <c r="X88">
        <v>89.99</v>
      </c>
      <c r="Y88">
        <v>4.0999999999999996</v>
      </c>
      <c r="Z88">
        <v>16.307647060000001</v>
      </c>
      <c r="AA88">
        <v>58.99</v>
      </c>
      <c r="AB88">
        <v>3.9</v>
      </c>
      <c r="AC88">
        <v>19.574999999999999</v>
      </c>
      <c r="AD88">
        <v>110.99</v>
      </c>
      <c r="AE88">
        <f>Table1[[#This Row],[total_price]]/Table1[[#This Row],[qty]]</f>
        <v>110.99</v>
      </c>
      <c r="AF88">
        <f t="shared" si="1"/>
        <v>110.99</v>
      </c>
      <c r="AG88">
        <f>IF(ROW()=2, "", AVERAGE(D$2:D87))</f>
        <v>10.5</v>
      </c>
    </row>
    <row r="89" spans="1:33" x14ac:dyDescent="0.25">
      <c r="A89" t="s">
        <v>41</v>
      </c>
      <c r="B89" t="s">
        <v>38</v>
      </c>
      <c r="C89" s="1">
        <v>43103</v>
      </c>
      <c r="D89">
        <v>9</v>
      </c>
      <c r="E89">
        <v>998.91</v>
      </c>
      <c r="F89">
        <v>38.192222219999998</v>
      </c>
      <c r="G89">
        <v>110.99</v>
      </c>
      <c r="H89">
        <v>50</v>
      </c>
      <c r="I89">
        <v>1257</v>
      </c>
      <c r="J89">
        <v>1</v>
      </c>
      <c r="K89">
        <v>700</v>
      </c>
      <c r="L89">
        <v>4.0999999999999996</v>
      </c>
      <c r="M89">
        <v>169</v>
      </c>
      <c r="N89">
        <v>22</v>
      </c>
      <c r="O89">
        <v>9</v>
      </c>
      <c r="P89">
        <v>1</v>
      </c>
      <c r="Q89">
        <v>3</v>
      </c>
      <c r="R89">
        <v>2018</v>
      </c>
      <c r="S89">
        <v>5.769230769</v>
      </c>
      <c r="T89">
        <v>5700</v>
      </c>
      <c r="U89">
        <v>23.99</v>
      </c>
      <c r="V89">
        <v>4.3</v>
      </c>
      <c r="W89">
        <v>14.19875</v>
      </c>
      <c r="X89">
        <v>83.74</v>
      </c>
      <c r="Y89">
        <v>4.0999999999999996</v>
      </c>
      <c r="Z89">
        <v>11.876875</v>
      </c>
      <c r="AA89">
        <v>58.99</v>
      </c>
      <c r="AB89">
        <v>3.9</v>
      </c>
      <c r="AC89">
        <v>15.228</v>
      </c>
      <c r="AD89">
        <v>110.99</v>
      </c>
      <c r="AE89">
        <f>Table1[[#This Row],[total_price]]/Table1[[#This Row],[qty]]</f>
        <v>110.99</v>
      </c>
      <c r="AF89">
        <f t="shared" si="1"/>
        <v>110.99</v>
      </c>
      <c r="AG89">
        <f>IF(ROW()=2, "", AVERAGE(D$2:D88))</f>
        <v>10.402298850574713</v>
      </c>
    </row>
    <row r="90" spans="1:33" x14ac:dyDescent="0.25">
      <c r="A90" t="s">
        <v>41</v>
      </c>
      <c r="B90" t="s">
        <v>38</v>
      </c>
      <c r="C90" s="1">
        <v>43104</v>
      </c>
      <c r="D90">
        <v>13</v>
      </c>
      <c r="E90">
        <v>1514.87</v>
      </c>
      <c r="F90">
        <v>37.091538460000002</v>
      </c>
      <c r="G90">
        <v>116.52846150000001</v>
      </c>
      <c r="H90">
        <v>50</v>
      </c>
      <c r="I90">
        <v>1257</v>
      </c>
      <c r="J90">
        <v>1</v>
      </c>
      <c r="K90">
        <v>700</v>
      </c>
      <c r="L90">
        <v>4.0999999999999996</v>
      </c>
      <c r="M90">
        <v>118</v>
      </c>
      <c r="N90">
        <v>21</v>
      </c>
      <c r="O90">
        <v>9</v>
      </c>
      <c r="P90">
        <v>1</v>
      </c>
      <c r="Q90">
        <v>4</v>
      </c>
      <c r="R90">
        <v>2018</v>
      </c>
      <c r="S90">
        <v>8.3333333330000006</v>
      </c>
      <c r="T90">
        <v>5700</v>
      </c>
      <c r="U90">
        <v>116.52846150000001</v>
      </c>
      <c r="V90">
        <v>4.0999999999999996</v>
      </c>
      <c r="W90">
        <v>37.091538460000002</v>
      </c>
      <c r="X90">
        <v>79.989999999999995</v>
      </c>
      <c r="Y90">
        <v>4.0999999999999996</v>
      </c>
      <c r="Z90">
        <v>14.484999999999999</v>
      </c>
      <c r="AA90">
        <v>58.99</v>
      </c>
      <c r="AB90">
        <v>3.9</v>
      </c>
      <c r="AC90">
        <v>16.302727269999998</v>
      </c>
      <c r="AD90">
        <v>110.99</v>
      </c>
      <c r="AE90">
        <f>Table1[[#This Row],[total_price]]/Table1[[#This Row],[qty]]</f>
        <v>116.52846153846153</v>
      </c>
      <c r="AF90">
        <f t="shared" si="1"/>
        <v>110.99</v>
      </c>
      <c r="AG90">
        <f>IF(ROW()=2, "", AVERAGE(D$2:D89))</f>
        <v>10.386363636363637</v>
      </c>
    </row>
    <row r="91" spans="1:33" x14ac:dyDescent="0.25">
      <c r="A91" t="s">
        <v>41</v>
      </c>
      <c r="B91" t="s">
        <v>38</v>
      </c>
      <c r="C91" s="1">
        <v>43105</v>
      </c>
      <c r="D91">
        <v>23</v>
      </c>
      <c r="E91">
        <v>2759.77</v>
      </c>
      <c r="F91">
        <v>31.582608700000002</v>
      </c>
      <c r="G91">
        <v>119.99</v>
      </c>
      <c r="H91">
        <v>50</v>
      </c>
      <c r="I91">
        <v>1257</v>
      </c>
      <c r="J91">
        <v>1</v>
      </c>
      <c r="K91">
        <v>700</v>
      </c>
      <c r="L91">
        <v>4.0999999999999996</v>
      </c>
      <c r="M91">
        <v>159</v>
      </c>
      <c r="N91">
        <v>23</v>
      </c>
      <c r="O91">
        <v>8</v>
      </c>
      <c r="P91">
        <v>3</v>
      </c>
      <c r="Q91">
        <v>5</v>
      </c>
      <c r="R91">
        <v>2018</v>
      </c>
      <c r="S91">
        <v>14.743589740000001</v>
      </c>
      <c r="T91">
        <v>5700</v>
      </c>
      <c r="U91">
        <v>23.99</v>
      </c>
      <c r="V91">
        <v>4.3</v>
      </c>
      <c r="W91">
        <v>7.9885714290000003</v>
      </c>
      <c r="X91">
        <v>79.989999999999995</v>
      </c>
      <c r="Y91">
        <v>4.0999999999999996</v>
      </c>
      <c r="Z91">
        <v>21.943124999999998</v>
      </c>
      <c r="AA91">
        <v>58.99</v>
      </c>
      <c r="AB91">
        <v>3.9</v>
      </c>
      <c r="AC91">
        <v>9.4224999999999994</v>
      </c>
      <c r="AD91">
        <v>116.52846150000001</v>
      </c>
      <c r="AE91">
        <f>Table1[[#This Row],[total_price]]/Table1[[#This Row],[qty]]</f>
        <v>119.99</v>
      </c>
      <c r="AF91">
        <f t="shared" si="1"/>
        <v>116.52846153846153</v>
      </c>
      <c r="AG91">
        <f>IF(ROW()=2, "", AVERAGE(D$2:D90))</f>
        <v>10.415730337078651</v>
      </c>
    </row>
    <row r="92" spans="1:33" x14ac:dyDescent="0.25">
      <c r="A92" t="s">
        <v>41</v>
      </c>
      <c r="B92" t="s">
        <v>38</v>
      </c>
      <c r="C92" s="1">
        <v>43106</v>
      </c>
      <c r="D92">
        <v>43</v>
      </c>
      <c r="E92">
        <v>5288.57</v>
      </c>
      <c r="F92">
        <v>35.51837209</v>
      </c>
      <c r="G92">
        <v>122.99</v>
      </c>
      <c r="H92">
        <v>50</v>
      </c>
      <c r="I92">
        <v>1257</v>
      </c>
      <c r="J92">
        <v>1</v>
      </c>
      <c r="K92">
        <v>700</v>
      </c>
      <c r="L92">
        <v>4.0999999999999996</v>
      </c>
      <c r="M92">
        <v>131</v>
      </c>
      <c r="N92">
        <v>21</v>
      </c>
      <c r="O92">
        <v>9</v>
      </c>
      <c r="P92">
        <v>0</v>
      </c>
      <c r="Q92">
        <v>6</v>
      </c>
      <c r="R92">
        <v>2018</v>
      </c>
      <c r="S92">
        <v>27.564102559999998</v>
      </c>
      <c r="T92">
        <v>5700</v>
      </c>
      <c r="U92">
        <v>23.99</v>
      </c>
      <c r="V92">
        <v>4.3</v>
      </c>
      <c r="W92">
        <v>16.27</v>
      </c>
      <c r="X92">
        <v>79.989999999999995</v>
      </c>
      <c r="Y92">
        <v>4.0999999999999996</v>
      </c>
      <c r="Z92">
        <v>13.36230769</v>
      </c>
      <c r="AA92">
        <v>58.99</v>
      </c>
      <c r="AB92">
        <v>3.9</v>
      </c>
      <c r="AC92">
        <v>16.43</v>
      </c>
      <c r="AD92">
        <v>119.99</v>
      </c>
      <c r="AE92">
        <f>Table1[[#This Row],[total_price]]/Table1[[#This Row],[qty]]</f>
        <v>122.99</v>
      </c>
      <c r="AF92">
        <f t="shared" si="1"/>
        <v>119.99</v>
      </c>
      <c r="AG92">
        <f>IF(ROW()=2, "", AVERAGE(D$2:D91))</f>
        <v>10.555555555555555</v>
      </c>
    </row>
    <row r="93" spans="1:33" x14ac:dyDescent="0.25">
      <c r="A93" t="s">
        <v>41</v>
      </c>
      <c r="B93" t="s">
        <v>38</v>
      </c>
      <c r="C93" s="1">
        <v>43107</v>
      </c>
      <c r="D93">
        <v>33</v>
      </c>
      <c r="E93">
        <v>4058.67</v>
      </c>
      <c r="F93">
        <v>33.01</v>
      </c>
      <c r="G93">
        <v>122.99</v>
      </c>
      <c r="H93">
        <v>50</v>
      </c>
      <c r="I93">
        <v>1257</v>
      </c>
      <c r="J93">
        <v>1</v>
      </c>
      <c r="K93">
        <v>700</v>
      </c>
      <c r="L93">
        <v>4.0999999999999996</v>
      </c>
      <c r="M93">
        <v>113</v>
      </c>
      <c r="N93">
        <v>22</v>
      </c>
      <c r="O93">
        <v>9</v>
      </c>
      <c r="P93">
        <v>1</v>
      </c>
      <c r="Q93">
        <v>7</v>
      </c>
      <c r="R93">
        <v>2018</v>
      </c>
      <c r="S93">
        <v>21.15384615</v>
      </c>
      <c r="T93">
        <v>5700</v>
      </c>
      <c r="U93">
        <v>23.99</v>
      </c>
      <c r="V93">
        <v>4.3</v>
      </c>
      <c r="W93">
        <v>18.809999999999999</v>
      </c>
      <c r="X93">
        <v>79.989999999999995</v>
      </c>
      <c r="Y93">
        <v>4.0999999999999996</v>
      </c>
      <c r="Z93">
        <v>16.745000000000001</v>
      </c>
      <c r="AA93">
        <v>58.99</v>
      </c>
      <c r="AB93">
        <v>3.9</v>
      </c>
      <c r="AC93">
        <v>7.67</v>
      </c>
      <c r="AD93">
        <v>122.99</v>
      </c>
      <c r="AE93">
        <f>Table1[[#This Row],[total_price]]/Table1[[#This Row],[qty]]</f>
        <v>122.99000000000001</v>
      </c>
      <c r="AF93">
        <f t="shared" si="1"/>
        <v>122.99</v>
      </c>
      <c r="AG93">
        <f>IF(ROW()=2, "", AVERAGE(D$2:D92))</f>
        <v>10.912087912087912</v>
      </c>
    </row>
    <row r="94" spans="1:33" x14ac:dyDescent="0.25">
      <c r="A94" t="s">
        <v>41</v>
      </c>
      <c r="B94" t="s">
        <v>38</v>
      </c>
      <c r="C94" s="1">
        <v>43108</v>
      </c>
      <c r="D94">
        <v>32</v>
      </c>
      <c r="E94">
        <v>3935.68</v>
      </c>
      <c r="F94">
        <v>36.941875000000003</v>
      </c>
      <c r="G94">
        <v>122.99</v>
      </c>
      <c r="H94">
        <v>50</v>
      </c>
      <c r="I94">
        <v>1257</v>
      </c>
      <c r="J94">
        <v>1</v>
      </c>
      <c r="K94">
        <v>700</v>
      </c>
      <c r="L94">
        <v>4.0999999999999996</v>
      </c>
      <c r="M94">
        <v>127</v>
      </c>
      <c r="N94">
        <v>23</v>
      </c>
      <c r="O94">
        <v>8</v>
      </c>
      <c r="P94">
        <v>1</v>
      </c>
      <c r="Q94">
        <v>8</v>
      </c>
      <c r="R94">
        <v>2018</v>
      </c>
      <c r="S94">
        <v>20.512820510000001</v>
      </c>
      <c r="T94">
        <v>5700</v>
      </c>
      <c r="U94">
        <v>23.99</v>
      </c>
      <c r="V94">
        <v>4.3</v>
      </c>
      <c r="W94">
        <v>16.77</v>
      </c>
      <c r="X94">
        <v>82.821428569999995</v>
      </c>
      <c r="Y94">
        <v>4.0999999999999996</v>
      </c>
      <c r="Z94">
        <v>12.41857143</v>
      </c>
      <c r="AA94">
        <v>58.99</v>
      </c>
      <c r="AB94">
        <v>3.9</v>
      </c>
      <c r="AC94">
        <v>12.08333333</v>
      </c>
      <c r="AD94">
        <v>122.99</v>
      </c>
      <c r="AE94">
        <f>Table1[[#This Row],[total_price]]/Table1[[#This Row],[qty]]</f>
        <v>122.99</v>
      </c>
      <c r="AF94">
        <f t="shared" si="1"/>
        <v>122.99000000000001</v>
      </c>
      <c r="AG94">
        <f>IF(ROW()=2, "", AVERAGE(D$2:D93))</f>
        <v>11.152173913043478</v>
      </c>
    </row>
    <row r="95" spans="1:33" x14ac:dyDescent="0.25">
      <c r="A95" t="s">
        <v>42</v>
      </c>
      <c r="B95" t="s">
        <v>43</v>
      </c>
      <c r="C95" s="1">
        <v>42741</v>
      </c>
      <c r="D95">
        <v>4</v>
      </c>
      <c r="E95">
        <v>227.96</v>
      </c>
      <c r="F95">
        <v>18.452500000000001</v>
      </c>
      <c r="G95">
        <v>56.99</v>
      </c>
      <c r="H95">
        <v>54</v>
      </c>
      <c r="I95">
        <v>1536</v>
      </c>
      <c r="J95">
        <v>2</v>
      </c>
      <c r="K95">
        <v>250</v>
      </c>
      <c r="L95">
        <v>4.3</v>
      </c>
      <c r="M95">
        <v>4</v>
      </c>
      <c r="N95">
        <v>22</v>
      </c>
      <c r="O95">
        <v>8</v>
      </c>
      <c r="P95">
        <v>1</v>
      </c>
      <c r="Q95">
        <v>6</v>
      </c>
      <c r="R95">
        <v>2017</v>
      </c>
      <c r="S95">
        <v>4.1666666670000003</v>
      </c>
      <c r="T95">
        <v>3360</v>
      </c>
      <c r="U95">
        <v>56.99</v>
      </c>
      <c r="V95">
        <v>4.3</v>
      </c>
      <c r="W95">
        <v>18.452500000000001</v>
      </c>
      <c r="X95">
        <v>56.99</v>
      </c>
      <c r="Y95">
        <v>4.3</v>
      </c>
      <c r="Z95">
        <v>18.452500000000001</v>
      </c>
      <c r="AA95">
        <v>56.99</v>
      </c>
      <c r="AB95">
        <v>4.3</v>
      </c>
      <c r="AC95">
        <v>18.452500000000001</v>
      </c>
      <c r="AD95">
        <v>56.94</v>
      </c>
      <c r="AE95">
        <f>Table1[[#This Row],[total_price]]/Table1[[#This Row],[qty]]</f>
        <v>56.99</v>
      </c>
      <c r="AF95" t="str">
        <f t="shared" si="1"/>
        <v/>
      </c>
      <c r="AG95">
        <f>IF(ROW()=2, "", AVERAGE(D$2:D94))</f>
        <v>11.376344086021506</v>
      </c>
    </row>
    <row r="96" spans="1:33" x14ac:dyDescent="0.25">
      <c r="A96" t="s">
        <v>42</v>
      </c>
      <c r="B96" t="s">
        <v>43</v>
      </c>
      <c r="C96" s="1">
        <v>42742</v>
      </c>
      <c r="D96">
        <v>7</v>
      </c>
      <c r="E96">
        <v>398.93</v>
      </c>
      <c r="F96">
        <v>11.75</v>
      </c>
      <c r="G96">
        <v>56.99</v>
      </c>
      <c r="H96">
        <v>54</v>
      </c>
      <c r="I96">
        <v>1536</v>
      </c>
      <c r="J96">
        <v>2</v>
      </c>
      <c r="K96">
        <v>250</v>
      </c>
      <c r="L96">
        <v>4.3</v>
      </c>
      <c r="M96">
        <v>7</v>
      </c>
      <c r="N96">
        <v>21</v>
      </c>
      <c r="O96">
        <v>10</v>
      </c>
      <c r="P96">
        <v>1</v>
      </c>
      <c r="Q96">
        <v>7</v>
      </c>
      <c r="R96">
        <v>2017</v>
      </c>
      <c r="S96">
        <v>13.16964286</v>
      </c>
      <c r="T96">
        <v>3360</v>
      </c>
      <c r="U96">
        <v>56.99</v>
      </c>
      <c r="V96">
        <v>4.3</v>
      </c>
      <c r="W96">
        <v>11.75</v>
      </c>
      <c r="X96">
        <v>56.99</v>
      </c>
      <c r="Y96">
        <v>4.3</v>
      </c>
      <c r="Z96">
        <v>11.75</v>
      </c>
      <c r="AA96">
        <v>56.99</v>
      </c>
      <c r="AB96">
        <v>4.3</v>
      </c>
      <c r="AC96">
        <v>11.75</v>
      </c>
      <c r="AD96">
        <v>56.99</v>
      </c>
      <c r="AE96">
        <f>Table1[[#This Row],[total_price]]/Table1[[#This Row],[qty]]</f>
        <v>56.99</v>
      </c>
      <c r="AF96">
        <f t="shared" si="1"/>
        <v>56.99</v>
      </c>
      <c r="AG96">
        <f>IF(ROW()=2, "", AVERAGE(D$2:D95))</f>
        <v>11.297872340425531</v>
      </c>
    </row>
    <row r="97" spans="1:33" x14ac:dyDescent="0.25">
      <c r="A97" t="s">
        <v>42</v>
      </c>
      <c r="B97" t="s">
        <v>43</v>
      </c>
      <c r="C97" s="1">
        <v>42743</v>
      </c>
      <c r="D97">
        <v>7</v>
      </c>
      <c r="E97">
        <v>398.93</v>
      </c>
      <c r="F97">
        <v>13.58857143</v>
      </c>
      <c r="G97">
        <v>56.99</v>
      </c>
      <c r="H97">
        <v>54</v>
      </c>
      <c r="I97">
        <v>1536</v>
      </c>
      <c r="J97">
        <v>2</v>
      </c>
      <c r="K97">
        <v>250</v>
      </c>
      <c r="L97">
        <v>4.3</v>
      </c>
      <c r="M97">
        <v>8</v>
      </c>
      <c r="N97">
        <v>23</v>
      </c>
      <c r="O97">
        <v>8</v>
      </c>
      <c r="P97">
        <v>1</v>
      </c>
      <c r="Q97">
        <v>8</v>
      </c>
      <c r="R97">
        <v>2017</v>
      </c>
      <c r="S97">
        <v>8.4077380949999991</v>
      </c>
      <c r="T97">
        <v>3360</v>
      </c>
      <c r="U97">
        <v>56.99</v>
      </c>
      <c r="V97">
        <v>4.3</v>
      </c>
      <c r="W97">
        <v>13.58857143</v>
      </c>
      <c r="X97">
        <v>142.5</v>
      </c>
      <c r="Y97">
        <v>4.4000000000000004</v>
      </c>
      <c r="Z97">
        <v>15.75</v>
      </c>
      <c r="AA97">
        <v>56.99</v>
      </c>
      <c r="AB97">
        <v>4.3</v>
      </c>
      <c r="AC97">
        <v>13.58857143</v>
      </c>
      <c r="AD97">
        <v>56.99</v>
      </c>
      <c r="AE97">
        <f>Table1[[#This Row],[total_price]]/Table1[[#This Row],[qty]]</f>
        <v>56.99</v>
      </c>
      <c r="AF97">
        <f t="shared" si="1"/>
        <v>56.99</v>
      </c>
      <c r="AG97">
        <f>IF(ROW()=2, "", AVERAGE(D$2:D96))</f>
        <v>11.252631578947369</v>
      </c>
    </row>
    <row r="98" spans="1:33" x14ac:dyDescent="0.25">
      <c r="A98" t="s">
        <v>42</v>
      </c>
      <c r="B98" t="s">
        <v>43</v>
      </c>
      <c r="C98" s="1">
        <v>42744</v>
      </c>
      <c r="D98">
        <v>17</v>
      </c>
      <c r="E98">
        <v>968.83</v>
      </c>
      <c r="F98">
        <v>13.741176469999999</v>
      </c>
      <c r="G98">
        <v>56.99</v>
      </c>
      <c r="H98">
        <v>54</v>
      </c>
      <c r="I98">
        <v>1536</v>
      </c>
      <c r="J98">
        <v>2</v>
      </c>
      <c r="K98">
        <v>250</v>
      </c>
      <c r="L98">
        <v>4.3</v>
      </c>
      <c r="M98">
        <v>18</v>
      </c>
      <c r="N98">
        <v>21</v>
      </c>
      <c r="O98">
        <v>9</v>
      </c>
      <c r="P98">
        <v>1</v>
      </c>
      <c r="Q98">
        <v>9</v>
      </c>
      <c r="R98">
        <v>2017</v>
      </c>
      <c r="S98">
        <v>17.708333329999999</v>
      </c>
      <c r="T98">
        <v>3360</v>
      </c>
      <c r="U98">
        <v>56.99</v>
      </c>
      <c r="V98">
        <v>4.3</v>
      </c>
      <c r="W98">
        <v>13.741176469999999</v>
      </c>
      <c r="X98">
        <v>142.5</v>
      </c>
      <c r="Y98">
        <v>4.4000000000000004</v>
      </c>
      <c r="Z98">
        <v>9.19</v>
      </c>
      <c r="AA98">
        <v>56.99</v>
      </c>
      <c r="AB98">
        <v>4.3</v>
      </c>
      <c r="AC98">
        <v>13.741176469999999</v>
      </c>
      <c r="AD98">
        <v>56.99</v>
      </c>
      <c r="AE98">
        <f>Table1[[#This Row],[total_price]]/Table1[[#This Row],[qty]]</f>
        <v>56.99</v>
      </c>
      <c r="AF98">
        <f t="shared" si="1"/>
        <v>56.99</v>
      </c>
      <c r="AG98">
        <f>IF(ROW()=2, "", AVERAGE(D$2:D97))</f>
        <v>11.208333333333334</v>
      </c>
    </row>
    <row r="99" spans="1:33" x14ac:dyDescent="0.25">
      <c r="A99" t="s">
        <v>42</v>
      </c>
      <c r="B99" t="s">
        <v>43</v>
      </c>
      <c r="C99" s="1">
        <v>42745</v>
      </c>
      <c r="D99">
        <v>17</v>
      </c>
      <c r="E99">
        <v>968.83</v>
      </c>
      <c r="F99">
        <v>12.29294118</v>
      </c>
      <c r="G99">
        <v>56.99</v>
      </c>
      <c r="H99">
        <v>54</v>
      </c>
      <c r="I99">
        <v>1536</v>
      </c>
      <c r="J99">
        <v>2</v>
      </c>
      <c r="K99">
        <v>250</v>
      </c>
      <c r="L99">
        <v>4.3</v>
      </c>
      <c r="M99">
        <v>19</v>
      </c>
      <c r="N99">
        <v>22</v>
      </c>
      <c r="O99">
        <v>9</v>
      </c>
      <c r="P99">
        <v>2</v>
      </c>
      <c r="Q99">
        <v>10</v>
      </c>
      <c r="R99">
        <v>2017</v>
      </c>
      <c r="S99">
        <v>17.708333329999999</v>
      </c>
      <c r="T99">
        <v>3360</v>
      </c>
      <c r="U99">
        <v>56.99</v>
      </c>
      <c r="V99">
        <v>4.3</v>
      </c>
      <c r="W99">
        <v>12.29294118</v>
      </c>
      <c r="X99">
        <v>142.5</v>
      </c>
      <c r="Y99">
        <v>4.4000000000000004</v>
      </c>
      <c r="Z99">
        <v>17.149999999999999</v>
      </c>
      <c r="AA99">
        <v>56.99</v>
      </c>
      <c r="AB99">
        <v>4.3</v>
      </c>
      <c r="AC99">
        <v>12.29294118</v>
      </c>
      <c r="AD99">
        <v>56.99</v>
      </c>
      <c r="AE99">
        <f>Table1[[#This Row],[total_price]]/Table1[[#This Row],[qty]]</f>
        <v>56.99</v>
      </c>
      <c r="AF99">
        <f t="shared" si="1"/>
        <v>56.99</v>
      </c>
      <c r="AG99">
        <f>IF(ROW()=2, "", AVERAGE(D$2:D98))</f>
        <v>11.268041237113403</v>
      </c>
    </row>
    <row r="100" spans="1:33" x14ac:dyDescent="0.25">
      <c r="A100" t="s">
        <v>42</v>
      </c>
      <c r="B100" t="s">
        <v>43</v>
      </c>
      <c r="C100" s="1">
        <v>42746</v>
      </c>
      <c r="D100">
        <v>20</v>
      </c>
      <c r="E100">
        <v>1139.8</v>
      </c>
      <c r="F100">
        <v>12.714</v>
      </c>
      <c r="G100">
        <v>56.99</v>
      </c>
      <c r="H100">
        <v>54</v>
      </c>
      <c r="I100">
        <v>1536</v>
      </c>
      <c r="J100">
        <v>2</v>
      </c>
      <c r="K100">
        <v>250</v>
      </c>
      <c r="L100">
        <v>4.3</v>
      </c>
      <c r="M100">
        <v>27</v>
      </c>
      <c r="N100">
        <v>22</v>
      </c>
      <c r="O100">
        <v>8</v>
      </c>
      <c r="P100">
        <v>4</v>
      </c>
      <c r="Q100">
        <v>11</v>
      </c>
      <c r="R100">
        <v>2017</v>
      </c>
      <c r="S100">
        <v>20.833333329999999</v>
      </c>
      <c r="T100">
        <v>3360</v>
      </c>
      <c r="U100">
        <v>56.99</v>
      </c>
      <c r="V100">
        <v>4.3</v>
      </c>
      <c r="W100">
        <v>12.714</v>
      </c>
      <c r="X100">
        <v>118.05</v>
      </c>
      <c r="Y100">
        <v>4.4000000000000004</v>
      </c>
      <c r="Z100">
        <v>14.293749999999999</v>
      </c>
      <c r="AA100">
        <v>56.99</v>
      </c>
      <c r="AB100">
        <v>4.3</v>
      </c>
      <c r="AC100">
        <v>12.714</v>
      </c>
      <c r="AD100">
        <v>56.99</v>
      </c>
      <c r="AE100">
        <f>Table1[[#This Row],[total_price]]/Table1[[#This Row],[qty]]</f>
        <v>56.989999999999995</v>
      </c>
      <c r="AF100">
        <f t="shared" si="1"/>
        <v>56.99</v>
      </c>
      <c r="AG100">
        <f>IF(ROW()=2, "", AVERAGE(D$2:D99))</f>
        <v>11.326530612244898</v>
      </c>
    </row>
    <row r="101" spans="1:33" x14ac:dyDescent="0.25">
      <c r="A101" t="s">
        <v>42</v>
      </c>
      <c r="B101" t="s">
        <v>43</v>
      </c>
      <c r="C101" s="1">
        <v>42747</v>
      </c>
      <c r="D101">
        <v>24</v>
      </c>
      <c r="E101">
        <v>1367.76</v>
      </c>
      <c r="F101">
        <v>13.82</v>
      </c>
      <c r="G101">
        <v>56.99</v>
      </c>
      <c r="H101">
        <v>54</v>
      </c>
      <c r="I101">
        <v>1536</v>
      </c>
      <c r="J101">
        <v>2</v>
      </c>
      <c r="K101">
        <v>250</v>
      </c>
      <c r="L101">
        <v>4.3</v>
      </c>
      <c r="M101">
        <v>34</v>
      </c>
      <c r="N101">
        <v>21</v>
      </c>
      <c r="O101">
        <v>10</v>
      </c>
      <c r="P101">
        <v>1</v>
      </c>
      <c r="Q101">
        <v>12</v>
      </c>
      <c r="R101">
        <v>2017</v>
      </c>
      <c r="S101">
        <v>25</v>
      </c>
      <c r="T101">
        <v>3360</v>
      </c>
      <c r="U101">
        <v>56.99</v>
      </c>
      <c r="V101">
        <v>4.3</v>
      </c>
      <c r="W101">
        <v>13.82</v>
      </c>
      <c r="X101">
        <v>118</v>
      </c>
      <c r="Y101">
        <v>4.4000000000000004</v>
      </c>
      <c r="Z101">
        <v>11.026666669999999</v>
      </c>
      <c r="AA101">
        <v>56.99</v>
      </c>
      <c r="AB101">
        <v>4.3</v>
      </c>
      <c r="AC101">
        <v>13.82</v>
      </c>
      <c r="AD101">
        <v>56.99</v>
      </c>
      <c r="AE101">
        <f>Table1[[#This Row],[total_price]]/Table1[[#This Row],[qty]]</f>
        <v>56.99</v>
      </c>
      <c r="AF101">
        <f t="shared" si="1"/>
        <v>56.989999999999995</v>
      </c>
      <c r="AG101">
        <f>IF(ROW()=2, "", AVERAGE(D$2:D100))</f>
        <v>11.414141414141413</v>
      </c>
    </row>
    <row r="102" spans="1:33" x14ac:dyDescent="0.25">
      <c r="A102" t="s">
        <v>42</v>
      </c>
      <c r="B102" t="s">
        <v>43</v>
      </c>
      <c r="C102" s="1">
        <v>43101</v>
      </c>
      <c r="D102">
        <v>10</v>
      </c>
      <c r="E102">
        <v>569.9</v>
      </c>
      <c r="F102">
        <v>12.215</v>
      </c>
      <c r="G102">
        <v>56.99</v>
      </c>
      <c r="H102">
        <v>54</v>
      </c>
      <c r="I102">
        <v>1536</v>
      </c>
      <c r="J102">
        <v>2</v>
      </c>
      <c r="K102">
        <v>250</v>
      </c>
      <c r="L102">
        <v>4.3</v>
      </c>
      <c r="M102">
        <v>15</v>
      </c>
      <c r="N102">
        <v>23</v>
      </c>
      <c r="O102">
        <v>8</v>
      </c>
      <c r="P102">
        <v>2</v>
      </c>
      <c r="Q102">
        <v>1</v>
      </c>
      <c r="R102">
        <v>2018</v>
      </c>
      <c r="S102">
        <v>23.809523810000002</v>
      </c>
      <c r="T102">
        <v>3360</v>
      </c>
      <c r="U102">
        <v>56.99</v>
      </c>
      <c r="V102">
        <v>4.3</v>
      </c>
      <c r="W102">
        <v>12.215</v>
      </c>
      <c r="X102">
        <v>117.9</v>
      </c>
      <c r="Y102">
        <v>4.4000000000000004</v>
      </c>
      <c r="Z102">
        <v>14.03833333</v>
      </c>
      <c r="AA102">
        <v>56.99</v>
      </c>
      <c r="AB102">
        <v>4.3</v>
      </c>
      <c r="AC102">
        <v>12.215</v>
      </c>
      <c r="AD102">
        <v>56.99</v>
      </c>
      <c r="AE102">
        <f>Table1[[#This Row],[total_price]]/Table1[[#This Row],[qty]]</f>
        <v>56.989999999999995</v>
      </c>
      <c r="AF102">
        <f t="shared" si="1"/>
        <v>56.99</v>
      </c>
      <c r="AG102">
        <f>IF(ROW()=2, "", AVERAGE(D$2:D101))</f>
        <v>11.54</v>
      </c>
    </row>
    <row r="103" spans="1:33" x14ac:dyDescent="0.25">
      <c r="A103" t="s">
        <v>42</v>
      </c>
      <c r="B103" t="s">
        <v>43</v>
      </c>
      <c r="C103" s="1">
        <v>43102</v>
      </c>
      <c r="D103">
        <v>4</v>
      </c>
      <c r="E103">
        <v>227.96</v>
      </c>
      <c r="F103">
        <v>14.557499999999999</v>
      </c>
      <c r="G103">
        <v>56.99</v>
      </c>
      <c r="H103">
        <v>54</v>
      </c>
      <c r="I103">
        <v>1536</v>
      </c>
      <c r="J103">
        <v>2</v>
      </c>
      <c r="K103">
        <v>250</v>
      </c>
      <c r="L103">
        <v>4.3</v>
      </c>
      <c r="M103">
        <v>12</v>
      </c>
      <c r="N103">
        <v>20</v>
      </c>
      <c r="O103">
        <v>8</v>
      </c>
      <c r="P103">
        <v>2</v>
      </c>
      <c r="Q103">
        <v>2</v>
      </c>
      <c r="R103">
        <v>2018</v>
      </c>
      <c r="S103">
        <v>9.5238095240000007</v>
      </c>
      <c r="T103">
        <v>3360</v>
      </c>
      <c r="U103">
        <v>56.99</v>
      </c>
      <c r="V103">
        <v>4.3</v>
      </c>
      <c r="W103">
        <v>14.557499999999999</v>
      </c>
      <c r="X103">
        <v>117.8888889</v>
      </c>
      <c r="Y103">
        <v>4.4000000000000004</v>
      </c>
      <c r="Z103">
        <v>13.880909089999999</v>
      </c>
      <c r="AA103">
        <v>56.99</v>
      </c>
      <c r="AB103">
        <v>4.3</v>
      </c>
      <c r="AC103">
        <v>14.557499999999999</v>
      </c>
      <c r="AD103">
        <v>56.99</v>
      </c>
      <c r="AE103">
        <f>Table1[[#This Row],[total_price]]/Table1[[#This Row],[qty]]</f>
        <v>56.99</v>
      </c>
      <c r="AF103">
        <f t="shared" si="1"/>
        <v>56.989999999999995</v>
      </c>
      <c r="AG103">
        <f>IF(ROW()=2, "", AVERAGE(D$2:D102))</f>
        <v>11.524752475247524</v>
      </c>
    </row>
    <row r="104" spans="1:33" x14ac:dyDescent="0.25">
      <c r="A104" t="s">
        <v>42</v>
      </c>
      <c r="B104" t="s">
        <v>43</v>
      </c>
      <c r="C104" s="1">
        <v>43103</v>
      </c>
      <c r="D104">
        <v>14</v>
      </c>
      <c r="E104">
        <v>706.86</v>
      </c>
      <c r="F104">
        <v>15.19642857</v>
      </c>
      <c r="G104">
        <v>50.49</v>
      </c>
      <c r="H104">
        <v>54</v>
      </c>
      <c r="I104">
        <v>1536</v>
      </c>
      <c r="J104">
        <v>2</v>
      </c>
      <c r="K104">
        <v>250</v>
      </c>
      <c r="L104">
        <v>4.3</v>
      </c>
      <c r="M104">
        <v>18</v>
      </c>
      <c r="N104">
        <v>22</v>
      </c>
      <c r="O104">
        <v>9</v>
      </c>
      <c r="P104">
        <v>1</v>
      </c>
      <c r="Q104">
        <v>3</v>
      </c>
      <c r="R104">
        <v>2018</v>
      </c>
      <c r="S104">
        <v>33.333333330000002</v>
      </c>
      <c r="T104">
        <v>3360</v>
      </c>
      <c r="U104">
        <v>50.49</v>
      </c>
      <c r="V104">
        <v>4.3</v>
      </c>
      <c r="W104">
        <v>15.19642857</v>
      </c>
      <c r="X104">
        <v>117.7</v>
      </c>
      <c r="Y104">
        <v>4.4000000000000004</v>
      </c>
      <c r="Z104">
        <v>15.175000000000001</v>
      </c>
      <c r="AA104">
        <v>50.49</v>
      </c>
      <c r="AB104">
        <v>4.3</v>
      </c>
      <c r="AC104">
        <v>15.19642857</v>
      </c>
      <c r="AD104">
        <v>56.99</v>
      </c>
      <c r="AE104">
        <f>Table1[[#This Row],[total_price]]/Table1[[#This Row],[qty]]</f>
        <v>50.49</v>
      </c>
      <c r="AF104">
        <f t="shared" si="1"/>
        <v>56.99</v>
      </c>
      <c r="AG104">
        <f>IF(ROW()=2, "", AVERAGE(D$2:D103))</f>
        <v>11.450980392156863</v>
      </c>
    </row>
    <row r="105" spans="1:33" x14ac:dyDescent="0.25">
      <c r="A105" t="s">
        <v>42</v>
      </c>
      <c r="B105" t="s">
        <v>43</v>
      </c>
      <c r="C105" s="1">
        <v>43104</v>
      </c>
      <c r="D105">
        <v>2</v>
      </c>
      <c r="E105">
        <v>99.98</v>
      </c>
      <c r="F105">
        <v>13.664999999999999</v>
      </c>
      <c r="G105">
        <v>49.99</v>
      </c>
      <c r="H105">
        <v>54</v>
      </c>
      <c r="I105">
        <v>1536</v>
      </c>
      <c r="J105">
        <v>2</v>
      </c>
      <c r="K105">
        <v>250</v>
      </c>
      <c r="L105">
        <v>4.3</v>
      </c>
      <c r="M105">
        <v>10</v>
      </c>
      <c r="N105">
        <v>21</v>
      </c>
      <c r="O105">
        <v>9</v>
      </c>
      <c r="P105">
        <v>1</v>
      </c>
      <c r="Q105">
        <v>4</v>
      </c>
      <c r="R105">
        <v>2018</v>
      </c>
      <c r="S105">
        <v>4.7619047620000003</v>
      </c>
      <c r="T105">
        <v>3360</v>
      </c>
      <c r="U105">
        <v>49.99</v>
      </c>
      <c r="V105">
        <v>4.3</v>
      </c>
      <c r="W105">
        <v>13.664999999999999</v>
      </c>
      <c r="X105">
        <v>117.97499999999999</v>
      </c>
      <c r="Y105">
        <v>4.4000000000000004</v>
      </c>
      <c r="Z105">
        <v>21.65</v>
      </c>
      <c r="AA105">
        <v>49.99</v>
      </c>
      <c r="AB105">
        <v>4.3</v>
      </c>
      <c r="AC105">
        <v>13.664999999999999</v>
      </c>
      <c r="AD105">
        <v>50.49</v>
      </c>
      <c r="AE105">
        <f>Table1[[#This Row],[total_price]]/Table1[[#This Row],[qty]]</f>
        <v>49.99</v>
      </c>
      <c r="AF105">
        <f t="shared" si="1"/>
        <v>50.49</v>
      </c>
      <c r="AG105">
        <f>IF(ROW()=2, "", AVERAGE(D$2:D104))</f>
        <v>11.475728155339805</v>
      </c>
    </row>
    <row r="106" spans="1:33" x14ac:dyDescent="0.25">
      <c r="A106" t="s">
        <v>42</v>
      </c>
      <c r="B106" t="s">
        <v>43</v>
      </c>
      <c r="C106" s="1">
        <v>43107</v>
      </c>
      <c r="D106">
        <v>8</v>
      </c>
      <c r="E106">
        <v>399.92</v>
      </c>
      <c r="F106">
        <v>12.522500000000001</v>
      </c>
      <c r="G106">
        <v>49.99</v>
      </c>
      <c r="H106">
        <v>54</v>
      </c>
      <c r="I106">
        <v>1536</v>
      </c>
      <c r="J106">
        <v>2</v>
      </c>
      <c r="K106">
        <v>250</v>
      </c>
      <c r="L106">
        <v>4.3</v>
      </c>
      <c r="M106">
        <v>13</v>
      </c>
      <c r="N106">
        <v>22</v>
      </c>
      <c r="O106">
        <v>9</v>
      </c>
      <c r="P106">
        <v>1</v>
      </c>
      <c r="Q106">
        <v>7</v>
      </c>
      <c r="R106">
        <v>2018</v>
      </c>
      <c r="S106">
        <v>13.16964286</v>
      </c>
      <c r="T106">
        <v>3360</v>
      </c>
      <c r="U106">
        <v>49.99</v>
      </c>
      <c r="V106">
        <v>4.3</v>
      </c>
      <c r="W106">
        <v>12.522500000000001</v>
      </c>
      <c r="X106">
        <v>118.7</v>
      </c>
      <c r="Y106">
        <v>4.4000000000000004</v>
      </c>
      <c r="Z106">
        <v>15.978</v>
      </c>
      <c r="AA106">
        <v>49.99</v>
      </c>
      <c r="AB106">
        <v>4.3</v>
      </c>
      <c r="AC106">
        <v>12.522500000000001</v>
      </c>
      <c r="AD106">
        <v>49.94</v>
      </c>
      <c r="AE106">
        <f>Table1[[#This Row],[total_price]]/Table1[[#This Row],[qty]]</f>
        <v>49.99</v>
      </c>
      <c r="AF106">
        <f t="shared" si="1"/>
        <v>49.99</v>
      </c>
      <c r="AG106">
        <f>IF(ROW()=2, "", AVERAGE(D$2:D105))</f>
        <v>11.384615384615385</v>
      </c>
    </row>
    <row r="107" spans="1:33" x14ac:dyDescent="0.25">
      <c r="A107" t="s">
        <v>42</v>
      </c>
      <c r="B107" t="s">
        <v>43</v>
      </c>
      <c r="C107" s="1">
        <v>43108</v>
      </c>
      <c r="D107">
        <v>4</v>
      </c>
      <c r="E107">
        <v>199.96</v>
      </c>
      <c r="F107">
        <v>12.28</v>
      </c>
      <c r="G107">
        <v>49.99</v>
      </c>
      <c r="H107">
        <v>54</v>
      </c>
      <c r="I107">
        <v>1536</v>
      </c>
      <c r="J107">
        <v>2</v>
      </c>
      <c r="K107">
        <v>250</v>
      </c>
      <c r="L107">
        <v>4.3</v>
      </c>
      <c r="M107">
        <v>19</v>
      </c>
      <c r="N107">
        <v>23</v>
      </c>
      <c r="O107">
        <v>8</v>
      </c>
      <c r="P107">
        <v>1</v>
      </c>
      <c r="Q107">
        <v>8</v>
      </c>
      <c r="R107">
        <v>2018</v>
      </c>
      <c r="S107">
        <v>8.4077380949999991</v>
      </c>
      <c r="T107">
        <v>3360</v>
      </c>
      <c r="U107">
        <v>49.99</v>
      </c>
      <c r="V107">
        <v>4.3</v>
      </c>
      <c r="W107">
        <v>12.28</v>
      </c>
      <c r="X107">
        <v>116.9066667</v>
      </c>
      <c r="Y107">
        <v>4.4000000000000004</v>
      </c>
      <c r="Z107">
        <v>17.790588240000002</v>
      </c>
      <c r="AA107">
        <v>49.99</v>
      </c>
      <c r="AB107">
        <v>4.3</v>
      </c>
      <c r="AC107">
        <v>12.28</v>
      </c>
      <c r="AD107">
        <v>49.99</v>
      </c>
      <c r="AE107">
        <f>Table1[[#This Row],[total_price]]/Table1[[#This Row],[qty]]</f>
        <v>49.99</v>
      </c>
      <c r="AF107">
        <f t="shared" si="1"/>
        <v>49.99</v>
      </c>
      <c r="AG107">
        <f>IF(ROW()=2, "", AVERAGE(D$2:D106))</f>
        <v>11.352380952380953</v>
      </c>
    </row>
    <row r="108" spans="1:33" x14ac:dyDescent="0.25">
      <c r="A108" t="s">
        <v>44</v>
      </c>
      <c r="B108" t="s">
        <v>40</v>
      </c>
      <c r="C108" s="1">
        <v>42739</v>
      </c>
      <c r="D108">
        <v>2</v>
      </c>
      <c r="E108">
        <v>199.98</v>
      </c>
      <c r="F108">
        <v>21.17</v>
      </c>
      <c r="G108">
        <v>99.99</v>
      </c>
      <c r="H108">
        <v>54</v>
      </c>
      <c r="I108">
        <v>995</v>
      </c>
      <c r="J108">
        <v>1</v>
      </c>
      <c r="K108">
        <v>4475</v>
      </c>
      <c r="L108">
        <v>4.3</v>
      </c>
      <c r="M108">
        <v>33</v>
      </c>
      <c r="N108">
        <v>20</v>
      </c>
      <c r="O108">
        <v>10</v>
      </c>
      <c r="P108">
        <v>2</v>
      </c>
      <c r="Q108">
        <v>4</v>
      </c>
      <c r="R108">
        <v>2017</v>
      </c>
      <c r="S108">
        <v>9.7031963470000004</v>
      </c>
      <c r="T108">
        <v>32736</v>
      </c>
      <c r="U108">
        <v>99.99</v>
      </c>
      <c r="V108">
        <v>4.2</v>
      </c>
      <c r="W108">
        <v>14.202352940000001</v>
      </c>
      <c r="X108">
        <v>129.99</v>
      </c>
      <c r="Y108">
        <v>4.3</v>
      </c>
      <c r="Z108">
        <v>17.396428570000001</v>
      </c>
      <c r="AA108">
        <v>99.99</v>
      </c>
      <c r="AB108">
        <v>4.3</v>
      </c>
      <c r="AC108">
        <v>21.17</v>
      </c>
      <c r="AD108">
        <v>99.94</v>
      </c>
      <c r="AE108">
        <f>Table1[[#This Row],[total_price]]/Table1[[#This Row],[qty]]</f>
        <v>99.99</v>
      </c>
      <c r="AF108" t="str">
        <f t="shared" si="1"/>
        <v/>
      </c>
      <c r="AG108">
        <f>IF(ROW()=2, "", AVERAGE(D$2:D107))</f>
        <v>11.283018867924529</v>
      </c>
    </row>
    <row r="109" spans="1:33" x14ac:dyDescent="0.25">
      <c r="A109" t="s">
        <v>44</v>
      </c>
      <c r="B109" t="s">
        <v>40</v>
      </c>
      <c r="C109" s="1">
        <v>42740</v>
      </c>
      <c r="D109">
        <v>18</v>
      </c>
      <c r="E109">
        <v>1799.82</v>
      </c>
      <c r="F109">
        <v>15.577222219999999</v>
      </c>
      <c r="G109">
        <v>99.99</v>
      </c>
      <c r="H109">
        <v>54</v>
      </c>
      <c r="I109">
        <v>995</v>
      </c>
      <c r="J109">
        <v>1</v>
      </c>
      <c r="K109">
        <v>4475</v>
      </c>
      <c r="L109">
        <v>4.3</v>
      </c>
      <c r="M109">
        <v>58</v>
      </c>
      <c r="N109">
        <v>23</v>
      </c>
      <c r="O109">
        <v>8</v>
      </c>
      <c r="P109">
        <v>1</v>
      </c>
      <c r="Q109">
        <v>5</v>
      </c>
      <c r="R109">
        <v>2017</v>
      </c>
      <c r="S109">
        <v>24.657534250000001</v>
      </c>
      <c r="T109">
        <v>32736</v>
      </c>
      <c r="U109">
        <v>99.99</v>
      </c>
      <c r="V109">
        <v>4.2</v>
      </c>
      <c r="W109">
        <v>15.02090909</v>
      </c>
      <c r="X109">
        <v>129.99</v>
      </c>
      <c r="Y109">
        <v>4.3</v>
      </c>
      <c r="Z109">
        <v>18.272777779999998</v>
      </c>
      <c r="AA109">
        <v>99.99</v>
      </c>
      <c r="AB109">
        <v>4.3</v>
      </c>
      <c r="AC109">
        <v>15.577222219999999</v>
      </c>
      <c r="AD109">
        <v>99.99</v>
      </c>
      <c r="AE109">
        <f>Table1[[#This Row],[total_price]]/Table1[[#This Row],[qty]]</f>
        <v>99.99</v>
      </c>
      <c r="AF109">
        <f t="shared" si="1"/>
        <v>99.99</v>
      </c>
      <c r="AG109">
        <f>IF(ROW()=2, "", AVERAGE(D$2:D108))</f>
        <v>11.196261682242991</v>
      </c>
    </row>
    <row r="110" spans="1:33" x14ac:dyDescent="0.25">
      <c r="A110" t="s">
        <v>44</v>
      </c>
      <c r="B110" t="s">
        <v>40</v>
      </c>
      <c r="C110" s="1">
        <v>42741</v>
      </c>
      <c r="D110">
        <v>11</v>
      </c>
      <c r="E110">
        <v>1099.8900000000001</v>
      </c>
      <c r="F110">
        <v>20.490909089999999</v>
      </c>
      <c r="G110">
        <v>99.99</v>
      </c>
      <c r="H110">
        <v>54</v>
      </c>
      <c r="I110">
        <v>995</v>
      </c>
      <c r="J110">
        <v>1</v>
      </c>
      <c r="K110">
        <v>4475</v>
      </c>
      <c r="L110">
        <v>4.3</v>
      </c>
      <c r="M110">
        <v>42</v>
      </c>
      <c r="N110">
        <v>22</v>
      </c>
      <c r="O110">
        <v>8</v>
      </c>
      <c r="P110">
        <v>1</v>
      </c>
      <c r="Q110">
        <v>6</v>
      </c>
      <c r="R110">
        <v>2017</v>
      </c>
      <c r="S110">
        <v>15.06849315</v>
      </c>
      <c r="T110">
        <v>32736</v>
      </c>
      <c r="U110">
        <v>99.99</v>
      </c>
      <c r="V110">
        <v>4.2</v>
      </c>
      <c r="W110">
        <v>13.826428569999999</v>
      </c>
      <c r="X110">
        <v>129.99</v>
      </c>
      <c r="Y110">
        <v>4.3</v>
      </c>
      <c r="Z110">
        <v>17.061176469999999</v>
      </c>
      <c r="AA110">
        <v>99.99</v>
      </c>
      <c r="AB110">
        <v>4.3</v>
      </c>
      <c r="AC110">
        <v>20.490909089999999</v>
      </c>
      <c r="AD110">
        <v>99.99</v>
      </c>
      <c r="AE110">
        <f>Table1[[#This Row],[total_price]]/Table1[[#This Row],[qty]]</f>
        <v>99.990000000000009</v>
      </c>
      <c r="AF110">
        <f t="shared" si="1"/>
        <v>99.99</v>
      </c>
      <c r="AG110">
        <f>IF(ROW()=2, "", AVERAGE(D$2:D109))</f>
        <v>11.25925925925926</v>
      </c>
    </row>
    <row r="111" spans="1:33" x14ac:dyDescent="0.25">
      <c r="A111" t="s">
        <v>44</v>
      </c>
      <c r="B111" t="s">
        <v>40</v>
      </c>
      <c r="C111" s="1">
        <v>42742</v>
      </c>
      <c r="D111">
        <v>14</v>
      </c>
      <c r="E111">
        <v>1399.86</v>
      </c>
      <c r="F111">
        <v>19.912142859999999</v>
      </c>
      <c r="G111">
        <v>99.99</v>
      </c>
      <c r="H111">
        <v>54</v>
      </c>
      <c r="I111">
        <v>995</v>
      </c>
      <c r="J111">
        <v>1</v>
      </c>
      <c r="K111">
        <v>4475</v>
      </c>
      <c r="L111">
        <v>4.3</v>
      </c>
      <c r="M111">
        <v>42</v>
      </c>
      <c r="N111">
        <v>21</v>
      </c>
      <c r="O111">
        <v>10</v>
      </c>
      <c r="P111">
        <v>1</v>
      </c>
      <c r="Q111">
        <v>7</v>
      </c>
      <c r="R111">
        <v>2017</v>
      </c>
      <c r="S111">
        <v>19.178082190000001</v>
      </c>
      <c r="T111">
        <v>32736</v>
      </c>
      <c r="U111">
        <v>99.99</v>
      </c>
      <c r="V111">
        <v>4.2</v>
      </c>
      <c r="W111">
        <v>16.529090910000001</v>
      </c>
      <c r="X111">
        <v>129.99</v>
      </c>
      <c r="Y111">
        <v>4.3</v>
      </c>
      <c r="Z111">
        <v>18.715624999999999</v>
      </c>
      <c r="AA111">
        <v>99.99</v>
      </c>
      <c r="AB111">
        <v>4.3</v>
      </c>
      <c r="AC111">
        <v>19.912142859999999</v>
      </c>
      <c r="AD111">
        <v>99.99</v>
      </c>
      <c r="AE111">
        <f>Table1[[#This Row],[total_price]]/Table1[[#This Row],[qty]]</f>
        <v>99.99</v>
      </c>
      <c r="AF111">
        <f t="shared" si="1"/>
        <v>99.990000000000009</v>
      </c>
      <c r="AG111">
        <f>IF(ROW()=2, "", AVERAGE(D$2:D110))</f>
        <v>11.256880733944953</v>
      </c>
    </row>
    <row r="112" spans="1:33" x14ac:dyDescent="0.25">
      <c r="A112" t="s">
        <v>44</v>
      </c>
      <c r="B112" t="s">
        <v>40</v>
      </c>
      <c r="C112" s="1">
        <v>42743</v>
      </c>
      <c r="D112">
        <v>8</v>
      </c>
      <c r="E112">
        <v>799.92</v>
      </c>
      <c r="F112">
        <v>18.228750000000002</v>
      </c>
      <c r="G112">
        <v>99.99</v>
      </c>
      <c r="H112">
        <v>54</v>
      </c>
      <c r="I112">
        <v>995</v>
      </c>
      <c r="J112">
        <v>1</v>
      </c>
      <c r="K112">
        <v>4475</v>
      </c>
      <c r="L112">
        <v>4.3</v>
      </c>
      <c r="M112">
        <v>39</v>
      </c>
      <c r="N112">
        <v>23</v>
      </c>
      <c r="O112">
        <v>8</v>
      </c>
      <c r="P112">
        <v>1</v>
      </c>
      <c r="Q112">
        <v>8</v>
      </c>
      <c r="R112">
        <v>2017</v>
      </c>
      <c r="S112">
        <v>10.958904110000001</v>
      </c>
      <c r="T112">
        <v>32736</v>
      </c>
      <c r="U112">
        <v>99.99</v>
      </c>
      <c r="V112">
        <v>4.2</v>
      </c>
      <c r="W112">
        <v>18.975000000000001</v>
      </c>
      <c r="X112">
        <v>116.92749999999999</v>
      </c>
      <c r="Y112">
        <v>4.3</v>
      </c>
      <c r="Z112">
        <v>19.021249999999998</v>
      </c>
      <c r="AA112">
        <v>99.99</v>
      </c>
      <c r="AB112">
        <v>4.3</v>
      </c>
      <c r="AC112">
        <v>18.228750000000002</v>
      </c>
      <c r="AD112">
        <v>99.99</v>
      </c>
      <c r="AE112">
        <f>Table1[[#This Row],[total_price]]/Table1[[#This Row],[qty]]</f>
        <v>99.99</v>
      </c>
      <c r="AF112">
        <f t="shared" si="1"/>
        <v>99.99</v>
      </c>
      <c r="AG112">
        <f>IF(ROW()=2, "", AVERAGE(D$2:D111))</f>
        <v>11.281818181818181</v>
      </c>
    </row>
    <row r="113" spans="1:33" x14ac:dyDescent="0.25">
      <c r="A113" t="s">
        <v>44</v>
      </c>
      <c r="B113" t="s">
        <v>40</v>
      </c>
      <c r="C113" s="1">
        <v>42744</v>
      </c>
      <c r="D113">
        <v>6</v>
      </c>
      <c r="E113">
        <v>599.94000000000005</v>
      </c>
      <c r="F113">
        <v>17.78166667</v>
      </c>
      <c r="G113">
        <v>99.99</v>
      </c>
      <c r="H113">
        <v>54</v>
      </c>
      <c r="I113">
        <v>995</v>
      </c>
      <c r="J113">
        <v>1</v>
      </c>
      <c r="K113">
        <v>4475</v>
      </c>
      <c r="L113">
        <v>4.3</v>
      </c>
      <c r="M113">
        <v>10</v>
      </c>
      <c r="N113">
        <v>21</v>
      </c>
      <c r="O113">
        <v>9</v>
      </c>
      <c r="P113">
        <v>1</v>
      </c>
      <c r="Q113">
        <v>9</v>
      </c>
      <c r="R113">
        <v>2017</v>
      </c>
      <c r="S113">
        <v>8.2191780820000009</v>
      </c>
      <c r="T113">
        <v>32736</v>
      </c>
      <c r="U113">
        <v>99.99</v>
      </c>
      <c r="V113">
        <v>4.2</v>
      </c>
      <c r="W113">
        <v>15.93333333</v>
      </c>
      <c r="X113">
        <v>99.99</v>
      </c>
      <c r="Y113">
        <v>4.3</v>
      </c>
      <c r="Z113">
        <v>17.78166667</v>
      </c>
      <c r="AA113">
        <v>29.5</v>
      </c>
      <c r="AB113">
        <v>4.4000000000000004</v>
      </c>
      <c r="AC113">
        <v>11.73</v>
      </c>
      <c r="AD113">
        <v>99.99</v>
      </c>
      <c r="AE113">
        <f>Table1[[#This Row],[total_price]]/Table1[[#This Row],[qty]]</f>
        <v>99.990000000000009</v>
      </c>
      <c r="AF113">
        <f t="shared" si="1"/>
        <v>99.99</v>
      </c>
      <c r="AG113">
        <f>IF(ROW()=2, "", AVERAGE(D$2:D112))</f>
        <v>11.252252252252251</v>
      </c>
    </row>
    <row r="114" spans="1:33" x14ac:dyDescent="0.25">
      <c r="A114" t="s">
        <v>44</v>
      </c>
      <c r="B114" t="s">
        <v>40</v>
      </c>
      <c r="C114" s="1">
        <v>42745</v>
      </c>
      <c r="D114">
        <v>9</v>
      </c>
      <c r="E114">
        <v>899.91</v>
      </c>
      <c r="F114">
        <v>18.518888889999999</v>
      </c>
      <c r="G114">
        <v>99.99</v>
      </c>
      <c r="H114">
        <v>54</v>
      </c>
      <c r="I114">
        <v>995</v>
      </c>
      <c r="J114">
        <v>1</v>
      </c>
      <c r="K114">
        <v>4475</v>
      </c>
      <c r="L114">
        <v>4.3</v>
      </c>
      <c r="M114">
        <v>33</v>
      </c>
      <c r="N114">
        <v>22</v>
      </c>
      <c r="O114">
        <v>9</v>
      </c>
      <c r="P114">
        <v>2</v>
      </c>
      <c r="Q114">
        <v>10</v>
      </c>
      <c r="R114">
        <v>2017</v>
      </c>
      <c r="S114">
        <v>12.32876712</v>
      </c>
      <c r="T114">
        <v>32736</v>
      </c>
      <c r="U114">
        <v>99.99</v>
      </c>
      <c r="V114">
        <v>4.2</v>
      </c>
      <c r="W114">
        <v>16.95</v>
      </c>
      <c r="X114">
        <v>119.99</v>
      </c>
      <c r="Y114">
        <v>4.3</v>
      </c>
      <c r="Z114">
        <v>19.997</v>
      </c>
      <c r="AA114">
        <v>99.99</v>
      </c>
      <c r="AB114">
        <v>4.3</v>
      </c>
      <c r="AC114">
        <v>18.518888889999999</v>
      </c>
      <c r="AD114">
        <v>99.99</v>
      </c>
      <c r="AE114">
        <f>Table1[[#This Row],[total_price]]/Table1[[#This Row],[qty]]</f>
        <v>99.99</v>
      </c>
      <c r="AF114">
        <f t="shared" si="1"/>
        <v>99.990000000000009</v>
      </c>
      <c r="AG114">
        <f>IF(ROW()=2, "", AVERAGE(D$2:D113))</f>
        <v>11.205357142857142</v>
      </c>
    </row>
    <row r="115" spans="1:33" x14ac:dyDescent="0.25">
      <c r="A115" t="s">
        <v>44</v>
      </c>
      <c r="B115" t="s">
        <v>40</v>
      </c>
      <c r="C115" s="1">
        <v>42746</v>
      </c>
      <c r="D115">
        <v>2</v>
      </c>
      <c r="E115">
        <v>199.98</v>
      </c>
      <c r="F115">
        <v>17.45</v>
      </c>
      <c r="G115">
        <v>99.99</v>
      </c>
      <c r="H115">
        <v>54</v>
      </c>
      <c r="I115">
        <v>995</v>
      </c>
      <c r="J115">
        <v>1</v>
      </c>
      <c r="K115">
        <v>4475</v>
      </c>
      <c r="L115">
        <v>4.3</v>
      </c>
      <c r="M115">
        <v>42</v>
      </c>
      <c r="N115">
        <v>22</v>
      </c>
      <c r="O115">
        <v>8</v>
      </c>
      <c r="P115">
        <v>4</v>
      </c>
      <c r="Q115">
        <v>11</v>
      </c>
      <c r="R115">
        <v>2017</v>
      </c>
      <c r="S115">
        <v>2.7397260270000001</v>
      </c>
      <c r="T115">
        <v>32736</v>
      </c>
      <c r="U115">
        <v>99.99</v>
      </c>
      <c r="V115">
        <v>4.2</v>
      </c>
      <c r="W115">
        <v>16.1875</v>
      </c>
      <c r="X115">
        <v>129.99</v>
      </c>
      <c r="Y115">
        <v>4.3</v>
      </c>
      <c r="Z115">
        <v>22.674444439999998</v>
      </c>
      <c r="AA115">
        <v>99.99</v>
      </c>
      <c r="AB115">
        <v>4.3</v>
      </c>
      <c r="AC115">
        <v>17.45</v>
      </c>
      <c r="AD115">
        <v>99.99</v>
      </c>
      <c r="AE115">
        <f>Table1[[#This Row],[total_price]]/Table1[[#This Row],[qty]]</f>
        <v>99.99</v>
      </c>
      <c r="AF115">
        <f t="shared" si="1"/>
        <v>99.99</v>
      </c>
      <c r="AG115">
        <f>IF(ROW()=2, "", AVERAGE(D$2:D114))</f>
        <v>11.185840707964601</v>
      </c>
    </row>
    <row r="116" spans="1:33" x14ac:dyDescent="0.25">
      <c r="A116" t="s">
        <v>44</v>
      </c>
      <c r="B116" t="s">
        <v>40</v>
      </c>
      <c r="C116" s="1">
        <v>42747</v>
      </c>
      <c r="D116">
        <v>3</v>
      </c>
      <c r="E116">
        <v>299.97000000000003</v>
      </c>
      <c r="F116">
        <v>17.95</v>
      </c>
      <c r="G116">
        <v>99.99</v>
      </c>
      <c r="H116">
        <v>54</v>
      </c>
      <c r="I116">
        <v>995</v>
      </c>
      <c r="J116">
        <v>1</v>
      </c>
      <c r="K116">
        <v>4475</v>
      </c>
      <c r="L116">
        <v>4.3</v>
      </c>
      <c r="M116">
        <v>38</v>
      </c>
      <c r="N116">
        <v>21</v>
      </c>
      <c r="O116">
        <v>10</v>
      </c>
      <c r="P116">
        <v>1</v>
      </c>
      <c r="Q116">
        <v>12</v>
      </c>
      <c r="R116">
        <v>2017</v>
      </c>
      <c r="S116">
        <v>4.1095890410000004</v>
      </c>
      <c r="T116">
        <v>32736</v>
      </c>
      <c r="U116">
        <v>99.99</v>
      </c>
      <c r="V116">
        <v>4.2</v>
      </c>
      <c r="W116">
        <v>15.266666669999999</v>
      </c>
      <c r="X116">
        <v>129.99</v>
      </c>
      <c r="Y116">
        <v>4.3</v>
      </c>
      <c r="Z116">
        <v>25.59</v>
      </c>
      <c r="AA116">
        <v>99.99</v>
      </c>
      <c r="AB116">
        <v>4.3</v>
      </c>
      <c r="AC116">
        <v>17.95</v>
      </c>
      <c r="AD116">
        <v>99.99</v>
      </c>
      <c r="AE116">
        <f>Table1[[#This Row],[total_price]]/Table1[[#This Row],[qty]]</f>
        <v>99.990000000000009</v>
      </c>
      <c r="AF116">
        <f t="shared" si="1"/>
        <v>99.99</v>
      </c>
      <c r="AG116">
        <f>IF(ROW()=2, "", AVERAGE(D$2:D115))</f>
        <v>11.105263157894736</v>
      </c>
    </row>
    <row r="117" spans="1:33" x14ac:dyDescent="0.25">
      <c r="A117" t="s">
        <v>44</v>
      </c>
      <c r="B117" t="s">
        <v>40</v>
      </c>
      <c r="C117" s="1">
        <v>43101</v>
      </c>
      <c r="D117">
        <v>6</v>
      </c>
      <c r="E117">
        <v>599.94000000000005</v>
      </c>
      <c r="F117">
        <v>15.901666669999999</v>
      </c>
      <c r="G117">
        <v>99.99</v>
      </c>
      <c r="H117">
        <v>54</v>
      </c>
      <c r="I117">
        <v>995</v>
      </c>
      <c r="J117">
        <v>1</v>
      </c>
      <c r="K117">
        <v>4475</v>
      </c>
      <c r="L117">
        <v>4.3</v>
      </c>
      <c r="M117">
        <v>102</v>
      </c>
      <c r="N117">
        <v>23</v>
      </c>
      <c r="O117">
        <v>8</v>
      </c>
      <c r="P117">
        <v>2</v>
      </c>
      <c r="Q117">
        <v>1</v>
      </c>
      <c r="R117">
        <v>2018</v>
      </c>
      <c r="S117">
        <v>25</v>
      </c>
      <c r="T117">
        <v>32736</v>
      </c>
      <c r="U117">
        <v>99.99</v>
      </c>
      <c r="V117">
        <v>4.2</v>
      </c>
      <c r="W117">
        <v>16.54</v>
      </c>
      <c r="X117">
        <v>129.99</v>
      </c>
      <c r="Y117">
        <v>4.3</v>
      </c>
      <c r="Z117">
        <v>17.41</v>
      </c>
      <c r="AA117">
        <v>29.5</v>
      </c>
      <c r="AB117">
        <v>4.4000000000000004</v>
      </c>
      <c r="AC117">
        <v>16.53263158</v>
      </c>
      <c r="AD117">
        <v>99.99</v>
      </c>
      <c r="AE117">
        <f>Table1[[#This Row],[total_price]]/Table1[[#This Row],[qty]]</f>
        <v>99.990000000000009</v>
      </c>
      <c r="AF117">
        <f t="shared" si="1"/>
        <v>99.990000000000009</v>
      </c>
      <c r="AG117">
        <f>IF(ROW()=2, "", AVERAGE(D$2:D116))</f>
        <v>11.034782608695652</v>
      </c>
    </row>
    <row r="118" spans="1:33" x14ac:dyDescent="0.25">
      <c r="A118" t="s">
        <v>44</v>
      </c>
      <c r="B118" t="s">
        <v>40</v>
      </c>
      <c r="C118" s="1">
        <v>43102</v>
      </c>
      <c r="D118">
        <v>9</v>
      </c>
      <c r="E118">
        <v>899.91</v>
      </c>
      <c r="F118">
        <v>19.081111109999998</v>
      </c>
      <c r="G118">
        <v>99.99</v>
      </c>
      <c r="H118">
        <v>54</v>
      </c>
      <c r="I118">
        <v>995</v>
      </c>
      <c r="J118">
        <v>1</v>
      </c>
      <c r="K118">
        <v>4475</v>
      </c>
      <c r="L118">
        <v>4.3</v>
      </c>
      <c r="M118">
        <v>20</v>
      </c>
      <c r="N118">
        <v>20</v>
      </c>
      <c r="O118">
        <v>8</v>
      </c>
      <c r="P118">
        <v>2</v>
      </c>
      <c r="Q118">
        <v>2</v>
      </c>
      <c r="R118">
        <v>2018</v>
      </c>
      <c r="S118">
        <v>37.5</v>
      </c>
      <c r="T118">
        <v>32736</v>
      </c>
      <c r="U118">
        <v>99.99</v>
      </c>
      <c r="V118">
        <v>4.2</v>
      </c>
      <c r="W118">
        <v>13.72</v>
      </c>
      <c r="X118">
        <v>129.99</v>
      </c>
      <c r="Y118">
        <v>4.3</v>
      </c>
      <c r="Z118">
        <v>16.71</v>
      </c>
      <c r="AA118">
        <v>99.99</v>
      </c>
      <c r="AB118">
        <v>4.3</v>
      </c>
      <c r="AC118">
        <v>19.081111109999998</v>
      </c>
      <c r="AD118">
        <v>99.99</v>
      </c>
      <c r="AE118">
        <f>Table1[[#This Row],[total_price]]/Table1[[#This Row],[qty]]</f>
        <v>99.99</v>
      </c>
      <c r="AF118">
        <f t="shared" si="1"/>
        <v>99.990000000000009</v>
      </c>
      <c r="AG118">
        <f>IF(ROW()=2, "", AVERAGE(D$2:D117))</f>
        <v>10.991379310344827</v>
      </c>
    </row>
    <row r="119" spans="1:33" x14ac:dyDescent="0.25">
      <c r="A119" t="s">
        <v>44</v>
      </c>
      <c r="B119" t="s">
        <v>40</v>
      </c>
      <c r="C119" s="1">
        <v>43103</v>
      </c>
      <c r="D119">
        <v>5</v>
      </c>
      <c r="E119">
        <v>489.76</v>
      </c>
      <c r="F119">
        <v>17.591999999999999</v>
      </c>
      <c r="G119">
        <v>97.951999999999998</v>
      </c>
      <c r="H119">
        <v>54</v>
      </c>
      <c r="I119">
        <v>995</v>
      </c>
      <c r="J119">
        <v>1</v>
      </c>
      <c r="K119">
        <v>4475</v>
      </c>
      <c r="L119">
        <v>4.3</v>
      </c>
      <c r="M119">
        <v>45</v>
      </c>
      <c r="N119">
        <v>22</v>
      </c>
      <c r="O119">
        <v>9</v>
      </c>
      <c r="P119">
        <v>1</v>
      </c>
      <c r="Q119">
        <v>3</v>
      </c>
      <c r="R119">
        <v>2018</v>
      </c>
      <c r="S119">
        <v>20.833333329999999</v>
      </c>
      <c r="T119">
        <v>32736</v>
      </c>
      <c r="U119">
        <v>99.99</v>
      </c>
      <c r="V119">
        <v>4.2</v>
      </c>
      <c r="W119">
        <v>20.78</v>
      </c>
      <c r="X119">
        <v>129.99</v>
      </c>
      <c r="Y119">
        <v>4.3</v>
      </c>
      <c r="Z119">
        <v>18.489999999999998</v>
      </c>
      <c r="AA119">
        <v>35</v>
      </c>
      <c r="AB119">
        <v>4.4000000000000004</v>
      </c>
      <c r="AC119">
        <v>16.25615385</v>
      </c>
      <c r="AD119">
        <v>99.99</v>
      </c>
      <c r="AE119">
        <f>Table1[[#This Row],[total_price]]/Table1[[#This Row],[qty]]</f>
        <v>97.951999999999998</v>
      </c>
      <c r="AF119">
        <f t="shared" si="1"/>
        <v>99.99</v>
      </c>
      <c r="AG119">
        <f>IF(ROW()=2, "", AVERAGE(D$2:D118))</f>
        <v>10.974358974358974</v>
      </c>
    </row>
    <row r="120" spans="1:33" x14ac:dyDescent="0.25">
      <c r="A120" t="s">
        <v>44</v>
      </c>
      <c r="B120" t="s">
        <v>40</v>
      </c>
      <c r="C120" s="1">
        <v>43104</v>
      </c>
      <c r="D120">
        <v>4</v>
      </c>
      <c r="E120">
        <v>338.77</v>
      </c>
      <c r="F120">
        <v>18.195</v>
      </c>
      <c r="G120">
        <v>84.692499999999995</v>
      </c>
      <c r="H120">
        <v>54</v>
      </c>
      <c r="I120">
        <v>995</v>
      </c>
      <c r="J120">
        <v>1</v>
      </c>
      <c r="K120">
        <v>4475</v>
      </c>
      <c r="L120">
        <v>4.3</v>
      </c>
      <c r="M120">
        <v>18</v>
      </c>
      <c r="N120">
        <v>21</v>
      </c>
      <c r="O120">
        <v>9</v>
      </c>
      <c r="P120">
        <v>1</v>
      </c>
      <c r="Q120">
        <v>4</v>
      </c>
      <c r="R120">
        <v>2018</v>
      </c>
      <c r="S120">
        <v>9.7031963470000004</v>
      </c>
      <c r="T120">
        <v>32736</v>
      </c>
      <c r="U120">
        <v>89.863333330000003</v>
      </c>
      <c r="V120">
        <v>4.2</v>
      </c>
      <c r="W120">
        <v>19.876666669999999</v>
      </c>
      <c r="X120">
        <v>129.99</v>
      </c>
      <c r="Y120">
        <v>4.3</v>
      </c>
      <c r="Z120">
        <v>23.49</v>
      </c>
      <c r="AA120">
        <v>35</v>
      </c>
      <c r="AB120">
        <v>4.4000000000000004</v>
      </c>
      <c r="AC120">
        <v>14.845000000000001</v>
      </c>
      <c r="AD120">
        <v>97.951999999999998</v>
      </c>
      <c r="AE120">
        <f>Table1[[#This Row],[total_price]]/Table1[[#This Row],[qty]]</f>
        <v>84.692499999999995</v>
      </c>
      <c r="AF120">
        <f t="shared" si="1"/>
        <v>97.951999999999998</v>
      </c>
      <c r="AG120">
        <f>IF(ROW()=2, "", AVERAGE(D$2:D119))</f>
        <v>10.923728813559322</v>
      </c>
    </row>
    <row r="121" spans="1:33" x14ac:dyDescent="0.25">
      <c r="A121" t="s">
        <v>45</v>
      </c>
      <c r="B121" t="s">
        <v>38</v>
      </c>
      <c r="C121" s="1">
        <v>42738</v>
      </c>
      <c r="D121">
        <v>6</v>
      </c>
      <c r="E121">
        <v>539.94000000000005</v>
      </c>
      <c r="F121">
        <v>13.02</v>
      </c>
      <c r="G121">
        <v>89.99</v>
      </c>
      <c r="H121">
        <v>59</v>
      </c>
      <c r="I121">
        <v>492</v>
      </c>
      <c r="J121">
        <v>3</v>
      </c>
      <c r="K121">
        <v>250</v>
      </c>
      <c r="L121">
        <v>4.0999999999999996</v>
      </c>
      <c r="M121">
        <v>25</v>
      </c>
      <c r="N121">
        <v>23</v>
      </c>
      <c r="O121">
        <v>8</v>
      </c>
      <c r="P121">
        <v>1</v>
      </c>
      <c r="Q121">
        <v>3</v>
      </c>
      <c r="R121">
        <v>2017</v>
      </c>
      <c r="S121">
        <v>9.1344405379999998</v>
      </c>
      <c r="T121">
        <v>3960</v>
      </c>
      <c r="U121">
        <v>19.989999999999998</v>
      </c>
      <c r="V121">
        <v>4.3</v>
      </c>
      <c r="W121">
        <v>13.81888889</v>
      </c>
      <c r="X121">
        <v>89.99</v>
      </c>
      <c r="Y121">
        <v>4.0999999999999996</v>
      </c>
      <c r="Z121">
        <v>13.02</v>
      </c>
      <c r="AA121">
        <v>64.989999999999995</v>
      </c>
      <c r="AB121">
        <v>3.9</v>
      </c>
      <c r="AC121">
        <v>17.262222220000002</v>
      </c>
      <c r="AD121">
        <v>89.94</v>
      </c>
      <c r="AE121">
        <f>Table1[[#This Row],[total_price]]/Table1[[#This Row],[qty]]</f>
        <v>89.990000000000009</v>
      </c>
      <c r="AF121" t="str">
        <f t="shared" si="1"/>
        <v/>
      </c>
      <c r="AG121">
        <f>IF(ROW()=2, "", AVERAGE(D$2:D120))</f>
        <v>10.865546218487395</v>
      </c>
    </row>
    <row r="122" spans="1:33" x14ac:dyDescent="0.25">
      <c r="A122" t="s">
        <v>45</v>
      </c>
      <c r="B122" t="s">
        <v>38</v>
      </c>
      <c r="C122" s="1">
        <v>42740</v>
      </c>
      <c r="D122">
        <v>6</v>
      </c>
      <c r="E122">
        <v>539.94000000000005</v>
      </c>
      <c r="F122">
        <v>16.098333329999999</v>
      </c>
      <c r="G122">
        <v>89.99</v>
      </c>
      <c r="H122">
        <v>59</v>
      </c>
      <c r="I122">
        <v>492</v>
      </c>
      <c r="J122">
        <v>3</v>
      </c>
      <c r="K122">
        <v>250</v>
      </c>
      <c r="L122">
        <v>4.0999999999999996</v>
      </c>
      <c r="M122">
        <v>41</v>
      </c>
      <c r="N122">
        <v>23</v>
      </c>
      <c r="O122">
        <v>8</v>
      </c>
      <c r="P122">
        <v>1</v>
      </c>
      <c r="Q122">
        <v>5</v>
      </c>
      <c r="R122">
        <v>2017</v>
      </c>
      <c r="S122">
        <v>9.1344405379999998</v>
      </c>
      <c r="T122">
        <v>3960</v>
      </c>
      <c r="U122">
        <v>19.989999999999998</v>
      </c>
      <c r="V122">
        <v>4.3</v>
      </c>
      <c r="W122">
        <v>14.8475</v>
      </c>
      <c r="X122">
        <v>89.99</v>
      </c>
      <c r="Y122">
        <v>4.0999999999999996</v>
      </c>
      <c r="Z122">
        <v>16.098333329999999</v>
      </c>
      <c r="AA122">
        <v>64.989999999999995</v>
      </c>
      <c r="AB122">
        <v>3.9</v>
      </c>
      <c r="AC122">
        <v>14.811875000000001</v>
      </c>
      <c r="AD122">
        <v>89.94</v>
      </c>
      <c r="AE122">
        <f>Table1[[#This Row],[total_price]]/Table1[[#This Row],[qty]]</f>
        <v>89.990000000000009</v>
      </c>
      <c r="AF122">
        <f t="shared" si="1"/>
        <v>89.990000000000009</v>
      </c>
      <c r="AG122">
        <f>IF(ROW()=2, "", AVERAGE(D$2:D121))</f>
        <v>10.824999999999999</v>
      </c>
    </row>
    <row r="123" spans="1:33" x14ac:dyDescent="0.25">
      <c r="A123" t="s">
        <v>45</v>
      </c>
      <c r="B123" t="s">
        <v>38</v>
      </c>
      <c r="C123" s="1">
        <v>42741</v>
      </c>
      <c r="D123">
        <v>9</v>
      </c>
      <c r="E123">
        <v>809.91</v>
      </c>
      <c r="F123">
        <v>14.16333333</v>
      </c>
      <c r="G123">
        <v>89.99</v>
      </c>
      <c r="H123">
        <v>59</v>
      </c>
      <c r="I123">
        <v>492</v>
      </c>
      <c r="J123">
        <v>3</v>
      </c>
      <c r="K123">
        <v>250</v>
      </c>
      <c r="L123">
        <v>4.0999999999999996</v>
      </c>
      <c r="M123">
        <v>53</v>
      </c>
      <c r="N123">
        <v>22</v>
      </c>
      <c r="O123">
        <v>8</v>
      </c>
      <c r="P123">
        <v>1</v>
      </c>
      <c r="Q123">
        <v>6</v>
      </c>
      <c r="R123">
        <v>2017</v>
      </c>
      <c r="S123">
        <v>8.8344041699999991</v>
      </c>
      <c r="T123">
        <v>3960</v>
      </c>
      <c r="U123">
        <v>19.989999999999998</v>
      </c>
      <c r="V123">
        <v>4.3</v>
      </c>
      <c r="W123">
        <v>12.68333333</v>
      </c>
      <c r="X123">
        <v>89.99</v>
      </c>
      <c r="Y123">
        <v>4.0999999999999996</v>
      </c>
      <c r="Z123">
        <v>14.16333333</v>
      </c>
      <c r="AA123">
        <v>58.799523809999997</v>
      </c>
      <c r="AB123">
        <v>3.9</v>
      </c>
      <c r="AC123">
        <v>13.903333330000001</v>
      </c>
      <c r="AD123">
        <v>89.99</v>
      </c>
      <c r="AE123">
        <f>Table1[[#This Row],[total_price]]/Table1[[#This Row],[qty]]</f>
        <v>89.99</v>
      </c>
      <c r="AF123">
        <f t="shared" si="1"/>
        <v>89.990000000000009</v>
      </c>
      <c r="AG123">
        <f>IF(ROW()=2, "", AVERAGE(D$2:D122))</f>
        <v>10.785123966942148</v>
      </c>
    </row>
    <row r="124" spans="1:33" x14ac:dyDescent="0.25">
      <c r="A124" t="s">
        <v>45</v>
      </c>
      <c r="B124" t="s">
        <v>38</v>
      </c>
      <c r="C124" s="1">
        <v>42742</v>
      </c>
      <c r="D124">
        <v>17</v>
      </c>
      <c r="E124">
        <v>1529.83</v>
      </c>
      <c r="F124">
        <v>12.11882353</v>
      </c>
      <c r="G124">
        <v>89.99</v>
      </c>
      <c r="H124">
        <v>59</v>
      </c>
      <c r="I124">
        <v>492</v>
      </c>
      <c r="J124">
        <v>3</v>
      </c>
      <c r="K124">
        <v>250</v>
      </c>
      <c r="L124">
        <v>4.0999999999999996</v>
      </c>
      <c r="M124">
        <v>61</v>
      </c>
      <c r="N124">
        <v>21</v>
      </c>
      <c r="O124">
        <v>10</v>
      </c>
      <c r="P124">
        <v>1</v>
      </c>
      <c r="Q124">
        <v>7</v>
      </c>
      <c r="R124">
        <v>2017</v>
      </c>
      <c r="S124">
        <v>10.246696569999999</v>
      </c>
      <c r="T124">
        <v>3960</v>
      </c>
      <c r="U124">
        <v>19.989999999999998</v>
      </c>
      <c r="V124">
        <v>4.3</v>
      </c>
      <c r="W124">
        <v>11.135172409999999</v>
      </c>
      <c r="X124">
        <v>89.99</v>
      </c>
      <c r="Y124">
        <v>4.0999999999999996</v>
      </c>
      <c r="Z124">
        <v>12.11882353</v>
      </c>
      <c r="AA124">
        <v>59.256666670000001</v>
      </c>
      <c r="AB124">
        <v>3.9</v>
      </c>
      <c r="AC124">
        <v>17.998000000000001</v>
      </c>
      <c r="AD124">
        <v>89.99</v>
      </c>
      <c r="AE124">
        <f>Table1[[#This Row],[total_price]]/Table1[[#This Row],[qty]]</f>
        <v>89.99</v>
      </c>
      <c r="AF124">
        <f t="shared" si="1"/>
        <v>89.99</v>
      </c>
      <c r="AG124">
        <f>IF(ROW()=2, "", AVERAGE(D$2:D123))</f>
        <v>10.770491803278688</v>
      </c>
    </row>
    <row r="125" spans="1:33" x14ac:dyDescent="0.25">
      <c r="A125" t="s">
        <v>45</v>
      </c>
      <c r="B125" t="s">
        <v>38</v>
      </c>
      <c r="C125" s="1">
        <v>42743</v>
      </c>
      <c r="D125">
        <v>18</v>
      </c>
      <c r="E125">
        <v>1619.82</v>
      </c>
      <c r="F125">
        <v>13.410555560000001</v>
      </c>
      <c r="G125">
        <v>89.99</v>
      </c>
      <c r="H125">
        <v>59</v>
      </c>
      <c r="I125">
        <v>492</v>
      </c>
      <c r="J125">
        <v>3</v>
      </c>
      <c r="K125">
        <v>250</v>
      </c>
      <c r="L125">
        <v>4.0999999999999996</v>
      </c>
      <c r="M125">
        <v>82</v>
      </c>
      <c r="N125">
        <v>23</v>
      </c>
      <c r="O125">
        <v>8</v>
      </c>
      <c r="P125">
        <v>1</v>
      </c>
      <c r="Q125">
        <v>8</v>
      </c>
      <c r="R125">
        <v>2017</v>
      </c>
      <c r="S125">
        <v>9.2617286940000003</v>
      </c>
      <c r="T125">
        <v>3960</v>
      </c>
      <c r="U125">
        <v>23.39740741</v>
      </c>
      <c r="V125">
        <v>4.3</v>
      </c>
      <c r="W125">
        <v>14.27678571</v>
      </c>
      <c r="X125">
        <v>89.99</v>
      </c>
      <c r="Y125">
        <v>4.0999999999999996</v>
      </c>
      <c r="Z125">
        <v>13.410555560000001</v>
      </c>
      <c r="AA125">
        <v>58.99</v>
      </c>
      <c r="AB125">
        <v>3.9</v>
      </c>
      <c r="AC125">
        <v>16.240909089999999</v>
      </c>
      <c r="AD125">
        <v>89.99</v>
      </c>
      <c r="AE125">
        <f>Table1[[#This Row],[total_price]]/Table1[[#This Row],[qty]]</f>
        <v>89.99</v>
      </c>
      <c r="AF125">
        <f t="shared" si="1"/>
        <v>89.99</v>
      </c>
      <c r="AG125">
        <f>IF(ROW()=2, "", AVERAGE(D$2:D124))</f>
        <v>10.821138211382113</v>
      </c>
    </row>
    <row r="126" spans="1:33" x14ac:dyDescent="0.25">
      <c r="A126" t="s">
        <v>45</v>
      </c>
      <c r="B126" t="s">
        <v>38</v>
      </c>
      <c r="C126" s="1">
        <v>42744</v>
      </c>
      <c r="D126">
        <v>21</v>
      </c>
      <c r="E126">
        <v>1889.79</v>
      </c>
      <c r="F126">
        <v>13.96428571</v>
      </c>
      <c r="G126">
        <v>89.99</v>
      </c>
      <c r="H126">
        <v>59</v>
      </c>
      <c r="I126">
        <v>492</v>
      </c>
      <c r="J126">
        <v>3</v>
      </c>
      <c r="K126">
        <v>250</v>
      </c>
      <c r="L126">
        <v>4.0999999999999996</v>
      </c>
      <c r="M126">
        <v>89</v>
      </c>
      <c r="N126">
        <v>21</v>
      </c>
      <c r="O126">
        <v>9</v>
      </c>
      <c r="P126">
        <v>1</v>
      </c>
      <c r="Q126">
        <v>9</v>
      </c>
      <c r="R126">
        <v>2017</v>
      </c>
      <c r="S126">
        <v>14.38356164</v>
      </c>
      <c r="T126">
        <v>3960</v>
      </c>
      <c r="U126">
        <v>23.99</v>
      </c>
      <c r="V126">
        <v>4.3</v>
      </c>
      <c r="W126">
        <v>16.12</v>
      </c>
      <c r="X126">
        <v>89.99</v>
      </c>
      <c r="Y126">
        <v>4.0999999999999996</v>
      </c>
      <c r="Z126">
        <v>13.96428571</v>
      </c>
      <c r="AA126">
        <v>58.99</v>
      </c>
      <c r="AB126">
        <v>3.9</v>
      </c>
      <c r="AC126">
        <v>15.639200000000001</v>
      </c>
      <c r="AD126">
        <v>89.99</v>
      </c>
      <c r="AE126">
        <f>Table1[[#This Row],[total_price]]/Table1[[#This Row],[qty]]</f>
        <v>89.99</v>
      </c>
      <c r="AF126">
        <f t="shared" si="1"/>
        <v>89.99</v>
      </c>
      <c r="AG126">
        <f>IF(ROW()=2, "", AVERAGE(D$2:D125))</f>
        <v>10.879032258064516</v>
      </c>
    </row>
    <row r="127" spans="1:33" x14ac:dyDescent="0.25">
      <c r="A127" t="s">
        <v>45</v>
      </c>
      <c r="B127" t="s">
        <v>38</v>
      </c>
      <c r="C127" s="1">
        <v>42745</v>
      </c>
      <c r="D127">
        <v>24</v>
      </c>
      <c r="E127">
        <v>2159.7600000000002</v>
      </c>
      <c r="F127">
        <v>16.56291667</v>
      </c>
      <c r="G127">
        <v>89.99</v>
      </c>
      <c r="H127">
        <v>59</v>
      </c>
      <c r="I127">
        <v>492</v>
      </c>
      <c r="J127">
        <v>3</v>
      </c>
      <c r="K127">
        <v>250</v>
      </c>
      <c r="L127">
        <v>4.0999999999999996</v>
      </c>
      <c r="M127">
        <v>81</v>
      </c>
      <c r="N127">
        <v>22</v>
      </c>
      <c r="O127">
        <v>9</v>
      </c>
      <c r="P127">
        <v>2</v>
      </c>
      <c r="Q127">
        <v>10</v>
      </c>
      <c r="R127">
        <v>2017</v>
      </c>
      <c r="S127">
        <v>16.438356160000001</v>
      </c>
      <c r="T127">
        <v>3960</v>
      </c>
      <c r="U127">
        <v>23.99</v>
      </c>
      <c r="V127">
        <v>4.3</v>
      </c>
      <c r="W127">
        <v>13.13666667</v>
      </c>
      <c r="X127">
        <v>89.99</v>
      </c>
      <c r="Y127">
        <v>4.0999999999999996</v>
      </c>
      <c r="Z127">
        <v>16.56291667</v>
      </c>
      <c r="AA127">
        <v>58.99</v>
      </c>
      <c r="AB127">
        <v>3.9</v>
      </c>
      <c r="AC127">
        <v>19.065263160000001</v>
      </c>
      <c r="AD127">
        <v>89.99</v>
      </c>
      <c r="AE127">
        <f>Table1[[#This Row],[total_price]]/Table1[[#This Row],[qty]]</f>
        <v>89.990000000000009</v>
      </c>
      <c r="AF127">
        <f t="shared" si="1"/>
        <v>89.99</v>
      </c>
      <c r="AG127">
        <f>IF(ROW()=2, "", AVERAGE(D$2:D126))</f>
        <v>10.96</v>
      </c>
    </row>
    <row r="128" spans="1:33" x14ac:dyDescent="0.25">
      <c r="A128" t="s">
        <v>45</v>
      </c>
      <c r="B128" t="s">
        <v>38</v>
      </c>
      <c r="C128" s="1">
        <v>42746</v>
      </c>
      <c r="D128">
        <v>26</v>
      </c>
      <c r="E128">
        <v>2339.7399999999998</v>
      </c>
      <c r="F128">
        <v>16.99038462</v>
      </c>
      <c r="G128">
        <v>89.99</v>
      </c>
      <c r="H128">
        <v>59</v>
      </c>
      <c r="I128">
        <v>492</v>
      </c>
      <c r="J128">
        <v>3</v>
      </c>
      <c r="K128">
        <v>250</v>
      </c>
      <c r="L128">
        <v>4.0999999999999996</v>
      </c>
      <c r="M128">
        <v>139</v>
      </c>
      <c r="N128">
        <v>22</v>
      </c>
      <c r="O128">
        <v>8</v>
      </c>
      <c r="P128">
        <v>4</v>
      </c>
      <c r="Q128">
        <v>11</v>
      </c>
      <c r="R128">
        <v>2017</v>
      </c>
      <c r="S128">
        <v>17.808219179999998</v>
      </c>
      <c r="T128">
        <v>3960</v>
      </c>
      <c r="U128">
        <v>23.99</v>
      </c>
      <c r="V128">
        <v>4.3</v>
      </c>
      <c r="W128">
        <v>12.37535714</v>
      </c>
      <c r="X128">
        <v>89.99</v>
      </c>
      <c r="Y128">
        <v>4.0999999999999996</v>
      </c>
      <c r="Z128">
        <v>16.99038462</v>
      </c>
      <c r="AA128">
        <v>58.99</v>
      </c>
      <c r="AB128">
        <v>3.9</v>
      </c>
      <c r="AC128">
        <v>15.71166667</v>
      </c>
      <c r="AD128">
        <v>89.99</v>
      </c>
      <c r="AE128">
        <f>Table1[[#This Row],[total_price]]/Table1[[#This Row],[qty]]</f>
        <v>89.99</v>
      </c>
      <c r="AF128">
        <f t="shared" si="1"/>
        <v>89.990000000000009</v>
      </c>
      <c r="AG128">
        <f>IF(ROW()=2, "", AVERAGE(D$2:D127))</f>
        <v>11.063492063492063</v>
      </c>
    </row>
    <row r="129" spans="1:33" x14ac:dyDescent="0.25">
      <c r="A129" t="s">
        <v>45</v>
      </c>
      <c r="B129" t="s">
        <v>38</v>
      </c>
      <c r="C129" s="1">
        <v>42747</v>
      </c>
      <c r="D129">
        <v>19</v>
      </c>
      <c r="E129">
        <v>1709.81</v>
      </c>
      <c r="F129">
        <v>15.89473684</v>
      </c>
      <c r="G129">
        <v>89.99</v>
      </c>
      <c r="H129">
        <v>59</v>
      </c>
      <c r="I129">
        <v>492</v>
      </c>
      <c r="J129">
        <v>3</v>
      </c>
      <c r="K129">
        <v>250</v>
      </c>
      <c r="L129">
        <v>4.0999999999999996</v>
      </c>
      <c r="M129">
        <v>112</v>
      </c>
      <c r="N129">
        <v>21</v>
      </c>
      <c r="O129">
        <v>10</v>
      </c>
      <c r="P129">
        <v>1</v>
      </c>
      <c r="Q129">
        <v>12</v>
      </c>
      <c r="R129">
        <v>2017</v>
      </c>
      <c r="S129">
        <v>13.01369863</v>
      </c>
      <c r="T129">
        <v>3960</v>
      </c>
      <c r="U129">
        <v>23.99</v>
      </c>
      <c r="V129">
        <v>4.3</v>
      </c>
      <c r="W129">
        <v>12.45684211</v>
      </c>
      <c r="X129">
        <v>89.99</v>
      </c>
      <c r="Y129">
        <v>4.0999999999999996</v>
      </c>
      <c r="Z129">
        <v>15.89473684</v>
      </c>
      <c r="AA129">
        <v>58.99</v>
      </c>
      <c r="AB129">
        <v>3.9</v>
      </c>
      <c r="AC129">
        <v>16.332222219999998</v>
      </c>
      <c r="AD129">
        <v>89.99</v>
      </c>
      <c r="AE129">
        <f>Table1[[#This Row],[total_price]]/Table1[[#This Row],[qty]]</f>
        <v>89.99</v>
      </c>
      <c r="AF129">
        <f t="shared" si="1"/>
        <v>89.99</v>
      </c>
      <c r="AG129">
        <f>IF(ROW()=2, "", AVERAGE(D$2:D128))</f>
        <v>11.181102362204724</v>
      </c>
    </row>
    <row r="130" spans="1:33" x14ac:dyDescent="0.25">
      <c r="A130" t="s">
        <v>45</v>
      </c>
      <c r="B130" t="s">
        <v>38</v>
      </c>
      <c r="C130" s="1">
        <v>43101</v>
      </c>
      <c r="D130">
        <v>20</v>
      </c>
      <c r="E130">
        <v>1799.8</v>
      </c>
      <c r="F130">
        <v>14.811</v>
      </c>
      <c r="G130">
        <v>89.99</v>
      </c>
      <c r="H130">
        <v>59</v>
      </c>
      <c r="I130">
        <v>492</v>
      </c>
      <c r="J130">
        <v>3</v>
      </c>
      <c r="K130">
        <v>250</v>
      </c>
      <c r="L130">
        <v>4.0999999999999996</v>
      </c>
      <c r="M130">
        <v>98</v>
      </c>
      <c r="N130">
        <v>23</v>
      </c>
      <c r="O130">
        <v>8</v>
      </c>
      <c r="P130">
        <v>2</v>
      </c>
      <c r="Q130">
        <v>1</v>
      </c>
      <c r="R130">
        <v>2018</v>
      </c>
      <c r="S130">
        <v>17.699115039999999</v>
      </c>
      <c r="T130">
        <v>3960</v>
      </c>
      <c r="U130">
        <v>23.99</v>
      </c>
      <c r="V130">
        <v>4.3</v>
      </c>
      <c r="W130">
        <v>11.28736842</v>
      </c>
      <c r="X130">
        <v>89.99</v>
      </c>
      <c r="Y130">
        <v>4.0999999999999996</v>
      </c>
      <c r="Z130">
        <v>14.811</v>
      </c>
      <c r="AA130">
        <v>58.99</v>
      </c>
      <c r="AB130">
        <v>3.9</v>
      </c>
      <c r="AC130">
        <v>22.678333330000001</v>
      </c>
      <c r="AD130">
        <v>89.99</v>
      </c>
      <c r="AE130">
        <f>Table1[[#This Row],[total_price]]/Table1[[#This Row],[qty]]</f>
        <v>89.99</v>
      </c>
      <c r="AF130">
        <f t="shared" ref="AF130:AF193" si="2">IF(A130=A129,AE129,"")</f>
        <v>89.99</v>
      </c>
      <c r="AG130">
        <f>IF(ROW()=2, "", AVERAGE(D$2:D129))</f>
        <v>11.2421875</v>
      </c>
    </row>
    <row r="131" spans="1:33" x14ac:dyDescent="0.25">
      <c r="A131" t="s">
        <v>45</v>
      </c>
      <c r="B131" t="s">
        <v>38</v>
      </c>
      <c r="C131" s="1">
        <v>43102</v>
      </c>
      <c r="D131">
        <v>17</v>
      </c>
      <c r="E131">
        <v>1529.83</v>
      </c>
      <c r="F131">
        <v>16.307647060000001</v>
      </c>
      <c r="G131">
        <v>89.99</v>
      </c>
      <c r="H131">
        <v>59</v>
      </c>
      <c r="I131">
        <v>492</v>
      </c>
      <c r="J131">
        <v>3</v>
      </c>
      <c r="K131">
        <v>250</v>
      </c>
      <c r="L131">
        <v>4.0999999999999996</v>
      </c>
      <c r="M131">
        <v>126</v>
      </c>
      <c r="N131">
        <v>20</v>
      </c>
      <c r="O131">
        <v>8</v>
      </c>
      <c r="P131">
        <v>2</v>
      </c>
      <c r="Q131">
        <v>2</v>
      </c>
      <c r="R131">
        <v>2018</v>
      </c>
      <c r="S131">
        <v>15.04424779</v>
      </c>
      <c r="T131">
        <v>3960</v>
      </c>
      <c r="U131">
        <v>23.99</v>
      </c>
      <c r="V131">
        <v>4.3</v>
      </c>
      <c r="W131">
        <v>12.55</v>
      </c>
      <c r="X131">
        <v>89.99</v>
      </c>
      <c r="Y131">
        <v>4.0999999999999996</v>
      </c>
      <c r="Z131">
        <v>16.307647060000001</v>
      </c>
      <c r="AA131">
        <v>58.99</v>
      </c>
      <c r="AB131">
        <v>3.9</v>
      </c>
      <c r="AC131">
        <v>19.574999999999999</v>
      </c>
      <c r="AD131">
        <v>89.99</v>
      </c>
      <c r="AE131">
        <f>Table1[[#This Row],[total_price]]/Table1[[#This Row],[qty]]</f>
        <v>89.99</v>
      </c>
      <c r="AF131">
        <f t="shared" si="2"/>
        <v>89.99</v>
      </c>
      <c r="AG131">
        <f>IF(ROW()=2, "", AVERAGE(D$2:D130))</f>
        <v>11.310077519379846</v>
      </c>
    </row>
    <row r="132" spans="1:33" x14ac:dyDescent="0.25">
      <c r="A132" t="s">
        <v>45</v>
      </c>
      <c r="B132" t="s">
        <v>38</v>
      </c>
      <c r="C132" s="1">
        <v>43103</v>
      </c>
      <c r="D132">
        <v>16</v>
      </c>
      <c r="E132">
        <v>1339.84</v>
      </c>
      <c r="F132">
        <v>11.876875</v>
      </c>
      <c r="G132">
        <v>83.74</v>
      </c>
      <c r="H132">
        <v>59</v>
      </c>
      <c r="I132">
        <v>492</v>
      </c>
      <c r="J132">
        <v>3</v>
      </c>
      <c r="K132">
        <v>250</v>
      </c>
      <c r="L132">
        <v>4.0999999999999996</v>
      </c>
      <c r="M132">
        <v>169</v>
      </c>
      <c r="N132">
        <v>22</v>
      </c>
      <c r="O132">
        <v>9</v>
      </c>
      <c r="P132">
        <v>1</v>
      </c>
      <c r="Q132">
        <v>3</v>
      </c>
      <c r="R132">
        <v>2018</v>
      </c>
      <c r="S132">
        <v>9.1344405379999998</v>
      </c>
      <c r="T132">
        <v>3960</v>
      </c>
      <c r="U132">
        <v>23.99</v>
      </c>
      <c r="V132">
        <v>4.3</v>
      </c>
      <c r="W132">
        <v>14.19875</v>
      </c>
      <c r="X132">
        <v>83.74</v>
      </c>
      <c r="Y132">
        <v>4.0999999999999996</v>
      </c>
      <c r="Z132">
        <v>11.876875</v>
      </c>
      <c r="AA132">
        <v>58.99</v>
      </c>
      <c r="AB132">
        <v>3.9</v>
      </c>
      <c r="AC132">
        <v>15.228</v>
      </c>
      <c r="AD132">
        <v>89.99</v>
      </c>
      <c r="AE132">
        <f>Table1[[#This Row],[total_price]]/Table1[[#This Row],[qty]]</f>
        <v>83.74</v>
      </c>
      <c r="AF132">
        <f t="shared" si="2"/>
        <v>89.99</v>
      </c>
      <c r="AG132">
        <f>IF(ROW()=2, "", AVERAGE(D$2:D131))</f>
        <v>11.353846153846154</v>
      </c>
    </row>
    <row r="133" spans="1:33" x14ac:dyDescent="0.25">
      <c r="A133" t="s">
        <v>45</v>
      </c>
      <c r="B133" t="s">
        <v>38</v>
      </c>
      <c r="C133" s="1">
        <v>43104</v>
      </c>
      <c r="D133">
        <v>14</v>
      </c>
      <c r="E133">
        <v>1119.8599999999999</v>
      </c>
      <c r="F133">
        <v>14.484999999999999</v>
      </c>
      <c r="G133">
        <v>79.989999999999995</v>
      </c>
      <c r="H133">
        <v>59</v>
      </c>
      <c r="I133">
        <v>492</v>
      </c>
      <c r="J133">
        <v>3</v>
      </c>
      <c r="K133">
        <v>250</v>
      </c>
      <c r="L133">
        <v>4.0999999999999996</v>
      </c>
      <c r="M133">
        <v>118</v>
      </c>
      <c r="N133">
        <v>21</v>
      </c>
      <c r="O133">
        <v>9</v>
      </c>
      <c r="P133">
        <v>1</v>
      </c>
      <c r="Q133">
        <v>4</v>
      </c>
      <c r="R133">
        <v>2018</v>
      </c>
      <c r="S133">
        <v>12.38938053</v>
      </c>
      <c r="T133">
        <v>3960</v>
      </c>
      <c r="U133">
        <v>79.989999999999995</v>
      </c>
      <c r="V133">
        <v>4.0999999999999996</v>
      </c>
      <c r="W133">
        <v>14.484999999999999</v>
      </c>
      <c r="X133">
        <v>79.989999999999995</v>
      </c>
      <c r="Y133">
        <v>4.0999999999999996</v>
      </c>
      <c r="Z133">
        <v>14.484999999999999</v>
      </c>
      <c r="AA133">
        <v>58.99</v>
      </c>
      <c r="AB133">
        <v>3.9</v>
      </c>
      <c r="AC133">
        <v>16.302727269999998</v>
      </c>
      <c r="AD133">
        <v>83.74</v>
      </c>
      <c r="AE133">
        <f>Table1[[#This Row],[total_price]]/Table1[[#This Row],[qty]]</f>
        <v>79.989999999999995</v>
      </c>
      <c r="AF133">
        <f t="shared" si="2"/>
        <v>83.74</v>
      </c>
      <c r="AG133">
        <f>IF(ROW()=2, "", AVERAGE(D$2:D132))</f>
        <v>11.389312977099237</v>
      </c>
    </row>
    <row r="134" spans="1:33" x14ac:dyDescent="0.25">
      <c r="A134" t="s">
        <v>45</v>
      </c>
      <c r="B134" t="s">
        <v>38</v>
      </c>
      <c r="C134" s="1">
        <v>43105</v>
      </c>
      <c r="D134">
        <v>16</v>
      </c>
      <c r="E134">
        <v>1279.8399999999999</v>
      </c>
      <c r="F134">
        <v>21.943124999999998</v>
      </c>
      <c r="G134">
        <v>79.989999999999995</v>
      </c>
      <c r="H134">
        <v>59</v>
      </c>
      <c r="I134">
        <v>492</v>
      </c>
      <c r="J134">
        <v>3</v>
      </c>
      <c r="K134">
        <v>250</v>
      </c>
      <c r="L134">
        <v>4.0999999999999996</v>
      </c>
      <c r="M134">
        <v>159</v>
      </c>
      <c r="N134">
        <v>23</v>
      </c>
      <c r="O134">
        <v>8</v>
      </c>
      <c r="P134">
        <v>3</v>
      </c>
      <c r="Q134">
        <v>5</v>
      </c>
      <c r="R134">
        <v>2018</v>
      </c>
      <c r="S134">
        <v>9.1344405379999998</v>
      </c>
      <c r="T134">
        <v>3960</v>
      </c>
      <c r="U134">
        <v>23.99</v>
      </c>
      <c r="V134">
        <v>4.3</v>
      </c>
      <c r="W134">
        <v>7.9885714290000003</v>
      </c>
      <c r="X134">
        <v>79.989999999999995</v>
      </c>
      <c r="Y134">
        <v>4.0999999999999996</v>
      </c>
      <c r="Z134">
        <v>21.943124999999998</v>
      </c>
      <c r="AA134">
        <v>58.99</v>
      </c>
      <c r="AB134">
        <v>3.9</v>
      </c>
      <c r="AC134">
        <v>9.4224999999999994</v>
      </c>
      <c r="AD134">
        <v>79.989999999999995</v>
      </c>
      <c r="AE134">
        <f>Table1[[#This Row],[total_price]]/Table1[[#This Row],[qty]]</f>
        <v>79.989999999999995</v>
      </c>
      <c r="AF134">
        <f t="shared" si="2"/>
        <v>79.989999999999995</v>
      </c>
      <c r="AG134">
        <f>IF(ROW()=2, "", AVERAGE(D$2:D133))</f>
        <v>11.409090909090908</v>
      </c>
    </row>
    <row r="135" spans="1:33" x14ac:dyDescent="0.25">
      <c r="A135" t="s">
        <v>45</v>
      </c>
      <c r="B135" t="s">
        <v>38</v>
      </c>
      <c r="C135" s="1">
        <v>43106</v>
      </c>
      <c r="D135">
        <v>13</v>
      </c>
      <c r="E135">
        <v>1039.8699999999999</v>
      </c>
      <c r="F135">
        <v>13.36230769</v>
      </c>
      <c r="G135">
        <v>79.989999999999995</v>
      </c>
      <c r="H135">
        <v>59</v>
      </c>
      <c r="I135">
        <v>492</v>
      </c>
      <c r="J135">
        <v>3</v>
      </c>
      <c r="K135">
        <v>250</v>
      </c>
      <c r="L135">
        <v>4.0999999999999996</v>
      </c>
      <c r="M135">
        <v>131</v>
      </c>
      <c r="N135">
        <v>21</v>
      </c>
      <c r="O135">
        <v>9</v>
      </c>
      <c r="P135">
        <v>0</v>
      </c>
      <c r="Q135">
        <v>6</v>
      </c>
      <c r="R135">
        <v>2018</v>
      </c>
      <c r="S135">
        <v>8.8344041699999991</v>
      </c>
      <c r="T135">
        <v>3960</v>
      </c>
      <c r="U135">
        <v>23.99</v>
      </c>
      <c r="V135">
        <v>4.3</v>
      </c>
      <c r="W135">
        <v>16.27</v>
      </c>
      <c r="X135">
        <v>79.989999999999995</v>
      </c>
      <c r="Y135">
        <v>4.0999999999999996</v>
      </c>
      <c r="Z135">
        <v>13.36230769</v>
      </c>
      <c r="AA135">
        <v>58.99</v>
      </c>
      <c r="AB135">
        <v>3.9</v>
      </c>
      <c r="AC135">
        <v>16.43</v>
      </c>
      <c r="AD135">
        <v>79.989999999999995</v>
      </c>
      <c r="AE135">
        <f>Table1[[#This Row],[total_price]]/Table1[[#This Row],[qty]]</f>
        <v>79.989999999999995</v>
      </c>
      <c r="AF135">
        <f t="shared" si="2"/>
        <v>79.989999999999995</v>
      </c>
      <c r="AG135">
        <f>IF(ROW()=2, "", AVERAGE(D$2:D134))</f>
        <v>11.443609022556391</v>
      </c>
    </row>
    <row r="136" spans="1:33" x14ac:dyDescent="0.25">
      <c r="A136" t="s">
        <v>45</v>
      </c>
      <c r="B136" t="s">
        <v>38</v>
      </c>
      <c r="C136" s="1">
        <v>43107</v>
      </c>
      <c r="D136">
        <v>10</v>
      </c>
      <c r="E136">
        <v>799.9</v>
      </c>
      <c r="F136">
        <v>16.745000000000001</v>
      </c>
      <c r="G136">
        <v>79.989999999999995</v>
      </c>
      <c r="H136">
        <v>59</v>
      </c>
      <c r="I136">
        <v>492</v>
      </c>
      <c r="J136">
        <v>3</v>
      </c>
      <c r="K136">
        <v>250</v>
      </c>
      <c r="L136">
        <v>4.0999999999999996</v>
      </c>
      <c r="M136">
        <v>113</v>
      </c>
      <c r="N136">
        <v>22</v>
      </c>
      <c r="O136">
        <v>9</v>
      </c>
      <c r="P136">
        <v>1</v>
      </c>
      <c r="Q136">
        <v>7</v>
      </c>
      <c r="R136">
        <v>2018</v>
      </c>
      <c r="S136">
        <v>10.246696569999999</v>
      </c>
      <c r="T136">
        <v>3960</v>
      </c>
      <c r="U136">
        <v>23.99</v>
      </c>
      <c r="V136">
        <v>4.3</v>
      </c>
      <c r="W136">
        <v>18.809999999999999</v>
      </c>
      <c r="X136">
        <v>79.989999999999995</v>
      </c>
      <c r="Y136">
        <v>4.0999999999999996</v>
      </c>
      <c r="Z136">
        <v>16.745000000000001</v>
      </c>
      <c r="AA136">
        <v>58.99</v>
      </c>
      <c r="AB136">
        <v>3.9</v>
      </c>
      <c r="AC136">
        <v>7.67</v>
      </c>
      <c r="AD136">
        <v>79.989999999999995</v>
      </c>
      <c r="AE136">
        <f>Table1[[#This Row],[total_price]]/Table1[[#This Row],[qty]]</f>
        <v>79.989999999999995</v>
      </c>
      <c r="AF136">
        <f t="shared" si="2"/>
        <v>79.989999999999995</v>
      </c>
      <c r="AG136">
        <f>IF(ROW()=2, "", AVERAGE(D$2:D135))</f>
        <v>11.455223880597014</v>
      </c>
    </row>
    <row r="137" spans="1:33" x14ac:dyDescent="0.25">
      <c r="A137" t="s">
        <v>45</v>
      </c>
      <c r="B137" t="s">
        <v>38</v>
      </c>
      <c r="C137" s="1">
        <v>43108</v>
      </c>
      <c r="D137">
        <v>7</v>
      </c>
      <c r="E137">
        <v>579.75</v>
      </c>
      <c r="F137">
        <v>12.41857143</v>
      </c>
      <c r="G137">
        <v>82.821428569999995</v>
      </c>
      <c r="H137">
        <v>59</v>
      </c>
      <c r="I137">
        <v>492</v>
      </c>
      <c r="J137">
        <v>3</v>
      </c>
      <c r="K137">
        <v>250</v>
      </c>
      <c r="L137">
        <v>4.0999999999999996</v>
      </c>
      <c r="M137">
        <v>127</v>
      </c>
      <c r="N137">
        <v>23</v>
      </c>
      <c r="O137">
        <v>8</v>
      </c>
      <c r="P137">
        <v>1</v>
      </c>
      <c r="Q137">
        <v>8</v>
      </c>
      <c r="R137">
        <v>2018</v>
      </c>
      <c r="S137">
        <v>9.2617286940000003</v>
      </c>
      <c r="T137">
        <v>3960</v>
      </c>
      <c r="U137">
        <v>23.99</v>
      </c>
      <c r="V137">
        <v>4.3</v>
      </c>
      <c r="W137">
        <v>16.77</v>
      </c>
      <c r="X137">
        <v>82.821428569999995</v>
      </c>
      <c r="Y137">
        <v>4.0999999999999996</v>
      </c>
      <c r="Z137">
        <v>12.41857143</v>
      </c>
      <c r="AA137">
        <v>58.99</v>
      </c>
      <c r="AB137">
        <v>3.9</v>
      </c>
      <c r="AC137">
        <v>12.08333333</v>
      </c>
      <c r="AD137">
        <v>79.989999999999995</v>
      </c>
      <c r="AE137">
        <f>Table1[[#This Row],[total_price]]/Table1[[#This Row],[qty]]</f>
        <v>82.821428571428569</v>
      </c>
      <c r="AF137">
        <f t="shared" si="2"/>
        <v>79.989999999999995</v>
      </c>
      <c r="AG137">
        <f>IF(ROW()=2, "", AVERAGE(D$2:D136))</f>
        <v>11.444444444444445</v>
      </c>
    </row>
    <row r="138" spans="1:33" x14ac:dyDescent="0.25">
      <c r="A138" t="s">
        <v>46</v>
      </c>
      <c r="B138" t="s">
        <v>33</v>
      </c>
      <c r="C138" s="1">
        <v>42742</v>
      </c>
      <c r="D138">
        <v>13</v>
      </c>
      <c r="E138">
        <v>778.7</v>
      </c>
      <c r="F138">
        <v>15.392307690000001</v>
      </c>
      <c r="G138">
        <v>59.9</v>
      </c>
      <c r="H138">
        <v>57</v>
      </c>
      <c r="I138">
        <v>366</v>
      </c>
      <c r="J138">
        <v>2</v>
      </c>
      <c r="K138">
        <v>1650</v>
      </c>
      <c r="L138">
        <v>4.0999999999999996</v>
      </c>
      <c r="M138">
        <v>74</v>
      </c>
      <c r="N138">
        <v>21</v>
      </c>
      <c r="O138">
        <v>10</v>
      </c>
      <c r="P138">
        <v>1</v>
      </c>
      <c r="Q138">
        <v>7</v>
      </c>
      <c r="R138">
        <v>2017</v>
      </c>
      <c r="S138">
        <v>4.0723019669999996</v>
      </c>
      <c r="T138">
        <v>19800</v>
      </c>
      <c r="U138">
        <v>59.9</v>
      </c>
      <c r="V138">
        <v>4.0999999999999996</v>
      </c>
      <c r="W138">
        <v>16.626428570000002</v>
      </c>
      <c r="X138">
        <v>59.9</v>
      </c>
      <c r="Y138">
        <v>4.2</v>
      </c>
      <c r="Z138">
        <v>16.111578949999998</v>
      </c>
      <c r="AA138">
        <v>59.9</v>
      </c>
      <c r="AB138">
        <v>4.0999999999999996</v>
      </c>
      <c r="AC138">
        <v>15.392307690000001</v>
      </c>
      <c r="AD138">
        <v>59.85</v>
      </c>
      <c r="AE138">
        <f>Table1[[#This Row],[total_price]]/Table1[[#This Row],[qty]]</f>
        <v>59.900000000000006</v>
      </c>
      <c r="AF138" t="str">
        <f t="shared" si="2"/>
        <v/>
      </c>
      <c r="AG138">
        <f>IF(ROW()=2, "", AVERAGE(D$2:D137))</f>
        <v>11.411764705882353</v>
      </c>
    </row>
    <row r="139" spans="1:33" x14ac:dyDescent="0.25">
      <c r="A139" t="s">
        <v>46</v>
      </c>
      <c r="B139" t="s">
        <v>33</v>
      </c>
      <c r="C139" s="1">
        <v>42743</v>
      </c>
      <c r="D139">
        <v>23</v>
      </c>
      <c r="E139">
        <v>1377.7</v>
      </c>
      <c r="F139">
        <v>18.05043478</v>
      </c>
      <c r="G139">
        <v>59.9</v>
      </c>
      <c r="H139">
        <v>57</v>
      </c>
      <c r="I139">
        <v>366</v>
      </c>
      <c r="J139">
        <v>2</v>
      </c>
      <c r="K139">
        <v>1650</v>
      </c>
      <c r="L139">
        <v>4.0999999999999996</v>
      </c>
      <c r="M139">
        <v>113</v>
      </c>
      <c r="N139">
        <v>23</v>
      </c>
      <c r="O139">
        <v>8</v>
      </c>
      <c r="P139">
        <v>1</v>
      </c>
      <c r="Q139">
        <v>8</v>
      </c>
      <c r="R139">
        <v>2017</v>
      </c>
      <c r="S139">
        <v>7.3870281770000004</v>
      </c>
      <c r="T139">
        <v>19800</v>
      </c>
      <c r="U139">
        <v>59.9</v>
      </c>
      <c r="V139">
        <v>4.0999999999999996</v>
      </c>
      <c r="W139">
        <v>18.162307689999999</v>
      </c>
      <c r="X139">
        <v>59.9</v>
      </c>
      <c r="Y139">
        <v>4.2</v>
      </c>
      <c r="Z139">
        <v>17.68111111</v>
      </c>
      <c r="AA139">
        <v>59.9</v>
      </c>
      <c r="AB139">
        <v>4.0999999999999996</v>
      </c>
      <c r="AC139">
        <v>18.05043478</v>
      </c>
      <c r="AD139">
        <v>59.9</v>
      </c>
      <c r="AE139">
        <f>Table1[[#This Row],[total_price]]/Table1[[#This Row],[qty]]</f>
        <v>59.9</v>
      </c>
      <c r="AF139">
        <f t="shared" si="2"/>
        <v>59.900000000000006</v>
      </c>
      <c r="AG139">
        <f>IF(ROW()=2, "", AVERAGE(D$2:D138))</f>
        <v>11.423357664233576</v>
      </c>
    </row>
    <row r="140" spans="1:33" x14ac:dyDescent="0.25">
      <c r="A140" t="s">
        <v>46</v>
      </c>
      <c r="B140" t="s">
        <v>33</v>
      </c>
      <c r="C140" s="1">
        <v>42744</v>
      </c>
      <c r="D140">
        <v>13</v>
      </c>
      <c r="E140">
        <v>778.7</v>
      </c>
      <c r="F140">
        <v>16.29461538</v>
      </c>
      <c r="G140">
        <v>59.9</v>
      </c>
      <c r="H140">
        <v>57</v>
      </c>
      <c r="I140">
        <v>366</v>
      </c>
      <c r="J140">
        <v>2</v>
      </c>
      <c r="K140">
        <v>1650</v>
      </c>
      <c r="L140">
        <v>4.0999999999999996</v>
      </c>
      <c r="M140">
        <v>115</v>
      </c>
      <c r="N140">
        <v>21</v>
      </c>
      <c r="O140">
        <v>9</v>
      </c>
      <c r="P140">
        <v>1</v>
      </c>
      <c r="Q140">
        <v>9</v>
      </c>
      <c r="R140">
        <v>2017</v>
      </c>
      <c r="S140">
        <v>6.5656565660000004</v>
      </c>
      <c r="T140">
        <v>19800</v>
      </c>
      <c r="U140">
        <v>59.9</v>
      </c>
      <c r="V140">
        <v>4.0999999999999996</v>
      </c>
      <c r="W140">
        <v>17.187027029999999</v>
      </c>
      <c r="X140">
        <v>59.9</v>
      </c>
      <c r="Y140">
        <v>4.2</v>
      </c>
      <c r="Z140">
        <v>16.811764709999999</v>
      </c>
      <c r="AA140">
        <v>59.9</v>
      </c>
      <c r="AB140">
        <v>4.0999999999999996</v>
      </c>
      <c r="AC140">
        <v>16.29461538</v>
      </c>
      <c r="AD140">
        <v>59.9</v>
      </c>
      <c r="AE140">
        <f>Table1[[#This Row],[total_price]]/Table1[[#This Row],[qty]]</f>
        <v>59.900000000000006</v>
      </c>
      <c r="AF140">
        <f t="shared" si="2"/>
        <v>59.9</v>
      </c>
      <c r="AG140">
        <f>IF(ROW()=2, "", AVERAGE(D$2:D139))</f>
        <v>11.507246376811594</v>
      </c>
    </row>
    <row r="141" spans="1:33" x14ac:dyDescent="0.25">
      <c r="A141" t="s">
        <v>46</v>
      </c>
      <c r="B141" t="s">
        <v>33</v>
      </c>
      <c r="C141" s="1">
        <v>42745</v>
      </c>
      <c r="D141">
        <v>36</v>
      </c>
      <c r="E141">
        <v>2156.4</v>
      </c>
      <c r="F141">
        <v>16.814166669999999</v>
      </c>
      <c r="G141">
        <v>59.9</v>
      </c>
      <c r="H141">
        <v>57</v>
      </c>
      <c r="I141">
        <v>366</v>
      </c>
      <c r="J141">
        <v>2</v>
      </c>
      <c r="K141">
        <v>1650</v>
      </c>
      <c r="L141">
        <v>4.0999999999999996</v>
      </c>
      <c r="M141">
        <v>146</v>
      </c>
      <c r="N141">
        <v>22</v>
      </c>
      <c r="O141">
        <v>9</v>
      </c>
      <c r="P141">
        <v>2</v>
      </c>
      <c r="Q141">
        <v>10</v>
      </c>
      <c r="R141">
        <v>2017</v>
      </c>
      <c r="S141">
        <v>18.18181818</v>
      </c>
      <c r="T141">
        <v>19800</v>
      </c>
      <c r="U141">
        <v>59.9</v>
      </c>
      <c r="V141">
        <v>4.0999999999999996</v>
      </c>
      <c r="W141">
        <v>18.065897440000001</v>
      </c>
      <c r="X141">
        <v>59.9</v>
      </c>
      <c r="Y141">
        <v>4.2</v>
      </c>
      <c r="Z141">
        <v>17.595483869999999</v>
      </c>
      <c r="AA141">
        <v>59.9</v>
      </c>
      <c r="AB141">
        <v>4.0999999999999996</v>
      </c>
      <c r="AC141">
        <v>16.814166669999999</v>
      </c>
      <c r="AD141">
        <v>59.9</v>
      </c>
      <c r="AE141">
        <f>Table1[[#This Row],[total_price]]/Table1[[#This Row],[qty]]</f>
        <v>59.900000000000006</v>
      </c>
      <c r="AF141">
        <f t="shared" si="2"/>
        <v>59.900000000000006</v>
      </c>
      <c r="AG141">
        <f>IF(ROW()=2, "", AVERAGE(D$2:D140))</f>
        <v>11.517985611510792</v>
      </c>
    </row>
    <row r="142" spans="1:33" x14ac:dyDescent="0.25">
      <c r="A142" t="s">
        <v>46</v>
      </c>
      <c r="B142" t="s">
        <v>33</v>
      </c>
      <c r="C142" s="1">
        <v>42746</v>
      </c>
      <c r="D142">
        <v>69</v>
      </c>
      <c r="E142">
        <v>3711.7</v>
      </c>
      <c r="F142">
        <v>18.27550725</v>
      </c>
      <c r="G142">
        <v>53.785714290000001</v>
      </c>
      <c r="H142">
        <v>57</v>
      </c>
      <c r="I142">
        <v>366</v>
      </c>
      <c r="J142">
        <v>2</v>
      </c>
      <c r="K142">
        <v>1650</v>
      </c>
      <c r="L142">
        <v>4.0999999999999996</v>
      </c>
      <c r="M142">
        <v>339</v>
      </c>
      <c r="N142">
        <v>22</v>
      </c>
      <c r="O142">
        <v>8</v>
      </c>
      <c r="P142">
        <v>4</v>
      </c>
      <c r="Q142">
        <v>11</v>
      </c>
      <c r="R142">
        <v>2017</v>
      </c>
      <c r="S142">
        <v>34.848484849999998</v>
      </c>
      <c r="T142">
        <v>19800</v>
      </c>
      <c r="U142">
        <v>52.406944439999997</v>
      </c>
      <c r="V142">
        <v>4.0999999999999996</v>
      </c>
      <c r="W142">
        <v>17.06747253</v>
      </c>
      <c r="X142">
        <v>53.648281249999997</v>
      </c>
      <c r="Y142">
        <v>4.2</v>
      </c>
      <c r="Z142">
        <v>16.075862069999999</v>
      </c>
      <c r="AA142">
        <v>53.785714290000001</v>
      </c>
      <c r="AB142">
        <v>4.0999999999999996</v>
      </c>
      <c r="AC142">
        <v>18.27550725</v>
      </c>
      <c r="AD142">
        <v>59.9</v>
      </c>
      <c r="AE142">
        <f>Table1[[#This Row],[total_price]]/Table1[[#This Row],[qty]]</f>
        <v>53.792753623188403</v>
      </c>
      <c r="AF142">
        <f t="shared" si="2"/>
        <v>59.900000000000006</v>
      </c>
      <c r="AG142">
        <f>IF(ROW()=2, "", AVERAGE(D$2:D141))</f>
        <v>11.692857142857143</v>
      </c>
    </row>
    <row r="143" spans="1:33" x14ac:dyDescent="0.25">
      <c r="A143" t="s">
        <v>46</v>
      </c>
      <c r="B143" t="s">
        <v>33</v>
      </c>
      <c r="C143" s="1">
        <v>42747</v>
      </c>
      <c r="D143">
        <v>44</v>
      </c>
      <c r="E143">
        <v>2468.6</v>
      </c>
      <c r="F143">
        <v>17.267272729999998</v>
      </c>
      <c r="G143">
        <v>55.75</v>
      </c>
      <c r="H143">
        <v>57</v>
      </c>
      <c r="I143">
        <v>366</v>
      </c>
      <c r="J143">
        <v>2</v>
      </c>
      <c r="K143">
        <v>1650</v>
      </c>
      <c r="L143">
        <v>4.0999999999999996</v>
      </c>
      <c r="M143">
        <v>184</v>
      </c>
      <c r="N143">
        <v>21</v>
      </c>
      <c r="O143">
        <v>10</v>
      </c>
      <c r="P143">
        <v>1</v>
      </c>
      <c r="Q143">
        <v>12</v>
      </c>
      <c r="R143">
        <v>2017</v>
      </c>
      <c r="S143">
        <v>22.222222219999999</v>
      </c>
      <c r="T143">
        <v>19800</v>
      </c>
      <c r="U143">
        <v>55.1</v>
      </c>
      <c r="V143">
        <v>4.0999999999999996</v>
      </c>
      <c r="W143">
        <v>15.759607839999999</v>
      </c>
      <c r="X143">
        <v>55.424999999999997</v>
      </c>
      <c r="Y143">
        <v>4.2</v>
      </c>
      <c r="Z143">
        <v>19.184374999999999</v>
      </c>
      <c r="AA143">
        <v>55.75</v>
      </c>
      <c r="AB143">
        <v>4.0999999999999996</v>
      </c>
      <c r="AC143">
        <v>17.267272729999998</v>
      </c>
      <c r="AD143">
        <v>53.785714290000001</v>
      </c>
      <c r="AE143">
        <f>Table1[[#This Row],[total_price]]/Table1[[#This Row],[qty]]</f>
        <v>56.104545454545452</v>
      </c>
      <c r="AF143">
        <f t="shared" si="2"/>
        <v>53.792753623188403</v>
      </c>
      <c r="AG143">
        <f>IF(ROW()=2, "", AVERAGE(D$2:D142))</f>
        <v>12.099290780141844</v>
      </c>
    </row>
    <row r="144" spans="1:33" x14ac:dyDescent="0.25">
      <c r="A144" t="s">
        <v>46</v>
      </c>
      <c r="B144" t="s">
        <v>33</v>
      </c>
      <c r="C144" s="1">
        <v>43101</v>
      </c>
      <c r="D144">
        <v>39</v>
      </c>
      <c r="E144">
        <v>1946.1</v>
      </c>
      <c r="F144">
        <v>16.505128209999999</v>
      </c>
      <c r="G144">
        <v>49.9</v>
      </c>
      <c r="H144">
        <v>57</v>
      </c>
      <c r="I144">
        <v>366</v>
      </c>
      <c r="J144">
        <v>2</v>
      </c>
      <c r="K144">
        <v>1650</v>
      </c>
      <c r="L144">
        <v>4.0999999999999996</v>
      </c>
      <c r="M144">
        <v>137</v>
      </c>
      <c r="N144">
        <v>23</v>
      </c>
      <c r="O144">
        <v>8</v>
      </c>
      <c r="P144">
        <v>2</v>
      </c>
      <c r="Q144">
        <v>1</v>
      </c>
      <c r="R144">
        <v>2018</v>
      </c>
      <c r="S144">
        <v>20.526315790000002</v>
      </c>
      <c r="T144">
        <v>19800</v>
      </c>
      <c r="U144">
        <v>49.9</v>
      </c>
      <c r="V144">
        <v>4.0999999999999996</v>
      </c>
      <c r="W144">
        <v>19.495000000000001</v>
      </c>
      <c r="X144">
        <v>49.9</v>
      </c>
      <c r="Y144">
        <v>4.2</v>
      </c>
      <c r="Z144">
        <v>15.841034479999999</v>
      </c>
      <c r="AA144">
        <v>49.9</v>
      </c>
      <c r="AB144">
        <v>4.0999999999999996</v>
      </c>
      <c r="AC144">
        <v>16.505128209999999</v>
      </c>
      <c r="AD144">
        <v>55.75</v>
      </c>
      <c r="AE144">
        <f>Table1[[#This Row],[total_price]]/Table1[[#This Row],[qty]]</f>
        <v>49.9</v>
      </c>
      <c r="AF144">
        <f t="shared" si="2"/>
        <v>56.104545454545452</v>
      </c>
      <c r="AG144">
        <f>IF(ROW()=2, "", AVERAGE(D$2:D143))</f>
        <v>12.32394366197183</v>
      </c>
    </row>
    <row r="145" spans="1:33" x14ac:dyDescent="0.25">
      <c r="A145" t="s">
        <v>46</v>
      </c>
      <c r="B145" t="s">
        <v>33</v>
      </c>
      <c r="C145" s="1">
        <v>43102</v>
      </c>
      <c r="D145">
        <v>48</v>
      </c>
      <c r="E145">
        <v>2411.1999999999998</v>
      </c>
      <c r="F145">
        <v>18.281874999999999</v>
      </c>
      <c r="G145">
        <v>50.357142860000003</v>
      </c>
      <c r="H145">
        <v>57</v>
      </c>
      <c r="I145">
        <v>366</v>
      </c>
      <c r="J145">
        <v>2</v>
      </c>
      <c r="K145">
        <v>1650</v>
      </c>
      <c r="L145">
        <v>4.0999999999999996</v>
      </c>
      <c r="M145">
        <v>160</v>
      </c>
      <c r="N145">
        <v>20</v>
      </c>
      <c r="O145">
        <v>8</v>
      </c>
      <c r="P145">
        <v>2</v>
      </c>
      <c r="Q145">
        <v>2</v>
      </c>
      <c r="R145">
        <v>2018</v>
      </c>
      <c r="S145">
        <v>25.263157889999999</v>
      </c>
      <c r="T145">
        <v>19800</v>
      </c>
      <c r="U145">
        <v>50.545161290000003</v>
      </c>
      <c r="V145">
        <v>4.0999999999999996</v>
      </c>
      <c r="W145">
        <v>16.611538459999998</v>
      </c>
      <c r="X145">
        <v>50.9</v>
      </c>
      <c r="Y145">
        <v>4.2</v>
      </c>
      <c r="Z145">
        <v>17.519444440000001</v>
      </c>
      <c r="AA145">
        <v>50.357142860000003</v>
      </c>
      <c r="AB145">
        <v>4.0999999999999996</v>
      </c>
      <c r="AC145">
        <v>18.281874999999999</v>
      </c>
      <c r="AD145">
        <v>49.9</v>
      </c>
      <c r="AE145">
        <f>Table1[[#This Row],[total_price]]/Table1[[#This Row],[qty]]</f>
        <v>50.233333333333327</v>
      </c>
      <c r="AF145">
        <f t="shared" si="2"/>
        <v>49.9</v>
      </c>
      <c r="AG145">
        <f>IF(ROW()=2, "", AVERAGE(D$2:D144))</f>
        <v>12.51048951048951</v>
      </c>
    </row>
    <row r="146" spans="1:33" x14ac:dyDescent="0.25">
      <c r="A146" t="s">
        <v>46</v>
      </c>
      <c r="B146" t="s">
        <v>33</v>
      </c>
      <c r="C146" s="1">
        <v>43103</v>
      </c>
      <c r="D146">
        <v>26</v>
      </c>
      <c r="E146">
        <v>1401.4</v>
      </c>
      <c r="F146">
        <v>19.024230769999999</v>
      </c>
      <c r="G146">
        <v>53.9</v>
      </c>
      <c r="H146">
        <v>57</v>
      </c>
      <c r="I146">
        <v>366</v>
      </c>
      <c r="J146">
        <v>2</v>
      </c>
      <c r="K146">
        <v>1650</v>
      </c>
      <c r="L146">
        <v>4.0999999999999996</v>
      </c>
      <c r="M146">
        <v>116</v>
      </c>
      <c r="N146">
        <v>22</v>
      </c>
      <c r="O146">
        <v>9</v>
      </c>
      <c r="P146">
        <v>1</v>
      </c>
      <c r="Q146">
        <v>3</v>
      </c>
      <c r="R146">
        <v>2018</v>
      </c>
      <c r="S146">
        <v>13.68421053</v>
      </c>
      <c r="T146">
        <v>19800</v>
      </c>
      <c r="U146">
        <v>53.9</v>
      </c>
      <c r="V146">
        <v>4.0999999999999996</v>
      </c>
      <c r="W146">
        <v>20.359677420000001</v>
      </c>
      <c r="X146">
        <v>53.9</v>
      </c>
      <c r="Y146">
        <v>4.2</v>
      </c>
      <c r="Z146">
        <v>21.852857140000001</v>
      </c>
      <c r="AA146">
        <v>53.9</v>
      </c>
      <c r="AB146">
        <v>4.0999999999999996</v>
      </c>
      <c r="AC146">
        <v>19.024230769999999</v>
      </c>
      <c r="AD146">
        <v>50.357142860000003</v>
      </c>
      <c r="AE146">
        <f>Table1[[#This Row],[total_price]]/Table1[[#This Row],[qty]]</f>
        <v>53.900000000000006</v>
      </c>
      <c r="AF146">
        <f t="shared" si="2"/>
        <v>50.233333333333327</v>
      </c>
      <c r="AG146">
        <f>IF(ROW()=2, "", AVERAGE(D$2:D145))</f>
        <v>12.756944444444445</v>
      </c>
    </row>
    <row r="147" spans="1:33" x14ac:dyDescent="0.25">
      <c r="A147" t="s">
        <v>46</v>
      </c>
      <c r="B147" t="s">
        <v>33</v>
      </c>
      <c r="C147" s="1">
        <v>43104</v>
      </c>
      <c r="D147">
        <v>28</v>
      </c>
      <c r="E147">
        <v>1509.2</v>
      </c>
      <c r="F147">
        <v>19.071428569999998</v>
      </c>
      <c r="G147">
        <v>53.9</v>
      </c>
      <c r="H147">
        <v>57</v>
      </c>
      <c r="I147">
        <v>366</v>
      </c>
      <c r="J147">
        <v>2</v>
      </c>
      <c r="K147">
        <v>1650</v>
      </c>
      <c r="L147">
        <v>4.0999999999999996</v>
      </c>
      <c r="M147">
        <v>111</v>
      </c>
      <c r="N147">
        <v>21</v>
      </c>
      <c r="O147">
        <v>9</v>
      </c>
      <c r="P147">
        <v>1</v>
      </c>
      <c r="Q147">
        <v>4</v>
      </c>
      <c r="R147">
        <v>2018</v>
      </c>
      <c r="S147">
        <v>14.73684211</v>
      </c>
      <c r="T147">
        <v>19800</v>
      </c>
      <c r="U147">
        <v>53.9</v>
      </c>
      <c r="V147">
        <v>4.0999999999999996</v>
      </c>
      <c r="W147">
        <v>5.2817391300000001</v>
      </c>
      <c r="X147">
        <v>53.9</v>
      </c>
      <c r="Y147">
        <v>4.2</v>
      </c>
      <c r="Z147">
        <v>19.46846154</v>
      </c>
      <c r="AA147">
        <v>53.9</v>
      </c>
      <c r="AB147">
        <v>4.0999999999999996</v>
      </c>
      <c r="AC147">
        <v>19.071428569999998</v>
      </c>
      <c r="AD147">
        <v>53.9</v>
      </c>
      <c r="AE147">
        <f>Table1[[#This Row],[total_price]]/Table1[[#This Row],[qty]]</f>
        <v>53.9</v>
      </c>
      <c r="AF147">
        <f t="shared" si="2"/>
        <v>53.900000000000006</v>
      </c>
      <c r="AG147">
        <f>IF(ROW()=2, "", AVERAGE(D$2:D146))</f>
        <v>12.848275862068965</v>
      </c>
    </row>
    <row r="148" spans="1:33" x14ac:dyDescent="0.25">
      <c r="A148" t="s">
        <v>46</v>
      </c>
      <c r="B148" t="s">
        <v>33</v>
      </c>
      <c r="C148" s="1">
        <v>43105</v>
      </c>
      <c r="D148">
        <v>25</v>
      </c>
      <c r="E148">
        <v>1319.5</v>
      </c>
      <c r="F148">
        <v>12.98</v>
      </c>
      <c r="G148">
        <v>53.057894740000002</v>
      </c>
      <c r="H148">
        <v>57</v>
      </c>
      <c r="I148">
        <v>366</v>
      </c>
      <c r="J148">
        <v>2</v>
      </c>
      <c r="K148">
        <v>1650</v>
      </c>
      <c r="L148">
        <v>4.0999999999999996</v>
      </c>
      <c r="M148">
        <v>102</v>
      </c>
      <c r="N148">
        <v>23</v>
      </c>
      <c r="O148">
        <v>8</v>
      </c>
      <c r="P148">
        <v>3</v>
      </c>
      <c r="Q148">
        <v>5</v>
      </c>
      <c r="R148">
        <v>2018</v>
      </c>
      <c r="S148">
        <v>13.15789474</v>
      </c>
      <c r="T148">
        <v>19800</v>
      </c>
      <c r="U148">
        <v>53.415151520000002</v>
      </c>
      <c r="V148">
        <v>4.0999999999999996</v>
      </c>
      <c r="W148">
        <v>10.753035710000001</v>
      </c>
      <c r="X148">
        <v>53.70952381</v>
      </c>
      <c r="Y148">
        <v>4.2</v>
      </c>
      <c r="Z148">
        <v>13.510344829999999</v>
      </c>
      <c r="AA148">
        <v>53.057894740000002</v>
      </c>
      <c r="AB148">
        <v>4.0999999999999996</v>
      </c>
      <c r="AC148">
        <v>12.98</v>
      </c>
      <c r="AD148">
        <v>53.9</v>
      </c>
      <c r="AE148">
        <f>Table1[[#This Row],[total_price]]/Table1[[#This Row],[qty]]</f>
        <v>52.78</v>
      </c>
      <c r="AF148">
        <f t="shared" si="2"/>
        <v>53.9</v>
      </c>
      <c r="AG148">
        <f>IF(ROW()=2, "", AVERAGE(D$2:D147))</f>
        <v>12.952054794520548</v>
      </c>
    </row>
    <row r="149" spans="1:33" x14ac:dyDescent="0.25">
      <c r="A149" t="s">
        <v>46</v>
      </c>
      <c r="B149" t="s">
        <v>33</v>
      </c>
      <c r="C149" s="1">
        <v>43106</v>
      </c>
      <c r="D149">
        <v>15</v>
      </c>
      <c r="E149">
        <v>748.5</v>
      </c>
      <c r="F149">
        <v>22.878666670000001</v>
      </c>
      <c r="G149">
        <v>49.9</v>
      </c>
      <c r="H149">
        <v>57</v>
      </c>
      <c r="I149">
        <v>366</v>
      </c>
      <c r="J149">
        <v>2</v>
      </c>
      <c r="K149">
        <v>1650</v>
      </c>
      <c r="L149">
        <v>4.0999999999999996</v>
      </c>
      <c r="M149">
        <v>58</v>
      </c>
      <c r="N149">
        <v>21</v>
      </c>
      <c r="O149">
        <v>9</v>
      </c>
      <c r="P149">
        <v>0</v>
      </c>
      <c r="Q149">
        <v>6</v>
      </c>
      <c r="R149">
        <v>2018</v>
      </c>
      <c r="S149">
        <v>7.8947368420000004</v>
      </c>
      <c r="T149">
        <v>19800</v>
      </c>
      <c r="U149">
        <v>49.9</v>
      </c>
      <c r="V149">
        <v>4.0999999999999996</v>
      </c>
      <c r="W149">
        <v>19.89083333</v>
      </c>
      <c r="X149">
        <v>49.9</v>
      </c>
      <c r="Y149">
        <v>4.2</v>
      </c>
      <c r="Z149">
        <v>23.251666669999999</v>
      </c>
      <c r="AA149">
        <v>49.9</v>
      </c>
      <c r="AB149">
        <v>4.0999999999999996</v>
      </c>
      <c r="AC149">
        <v>22.878666670000001</v>
      </c>
      <c r="AD149">
        <v>53.057894740000002</v>
      </c>
      <c r="AE149">
        <f>Table1[[#This Row],[total_price]]/Table1[[#This Row],[qty]]</f>
        <v>49.9</v>
      </c>
      <c r="AF149">
        <f t="shared" si="2"/>
        <v>52.78</v>
      </c>
      <c r="AG149">
        <f>IF(ROW()=2, "", AVERAGE(D$2:D148))</f>
        <v>13.034013605442176</v>
      </c>
    </row>
    <row r="150" spans="1:33" x14ac:dyDescent="0.25">
      <c r="A150" t="s">
        <v>46</v>
      </c>
      <c r="B150" t="s">
        <v>33</v>
      </c>
      <c r="C150" s="1">
        <v>43107</v>
      </c>
      <c r="D150">
        <v>3</v>
      </c>
      <c r="E150">
        <v>149.69999999999999</v>
      </c>
      <c r="F150">
        <v>20.99</v>
      </c>
      <c r="G150">
        <v>49.9</v>
      </c>
      <c r="H150">
        <v>57</v>
      </c>
      <c r="I150">
        <v>366</v>
      </c>
      <c r="J150">
        <v>2</v>
      </c>
      <c r="K150">
        <v>1650</v>
      </c>
      <c r="L150">
        <v>4.0999999999999996</v>
      </c>
      <c r="M150">
        <v>54</v>
      </c>
      <c r="N150">
        <v>22</v>
      </c>
      <c r="O150">
        <v>9</v>
      </c>
      <c r="P150">
        <v>1</v>
      </c>
      <c r="Q150">
        <v>7</v>
      </c>
      <c r="R150">
        <v>2018</v>
      </c>
      <c r="S150">
        <v>4.0723019669999996</v>
      </c>
      <c r="T150">
        <v>19800</v>
      </c>
      <c r="U150">
        <v>49.91</v>
      </c>
      <c r="V150">
        <v>4.0999999999999996</v>
      </c>
      <c r="W150">
        <v>28.373333330000001</v>
      </c>
      <c r="X150">
        <v>49.9</v>
      </c>
      <c r="Y150">
        <v>4.2</v>
      </c>
      <c r="Z150">
        <v>33.281428570000003</v>
      </c>
      <c r="AA150">
        <v>49.9</v>
      </c>
      <c r="AB150">
        <v>4.0999999999999996</v>
      </c>
      <c r="AC150">
        <v>20.99</v>
      </c>
      <c r="AD150">
        <v>49.9</v>
      </c>
      <c r="AE150">
        <f>Table1[[#This Row],[total_price]]/Table1[[#This Row],[qty]]</f>
        <v>49.9</v>
      </c>
      <c r="AF150">
        <f t="shared" si="2"/>
        <v>49.9</v>
      </c>
      <c r="AG150">
        <f>IF(ROW()=2, "", AVERAGE(D$2:D149))</f>
        <v>13.047297297297296</v>
      </c>
    </row>
    <row r="151" spans="1:33" x14ac:dyDescent="0.25">
      <c r="A151" t="s">
        <v>46</v>
      </c>
      <c r="B151" t="s">
        <v>33</v>
      </c>
      <c r="C151" s="1">
        <v>43108</v>
      </c>
      <c r="D151">
        <v>6</v>
      </c>
      <c r="E151">
        <v>299.39999999999998</v>
      </c>
      <c r="F151">
        <v>32.32</v>
      </c>
      <c r="G151">
        <v>49.9</v>
      </c>
      <c r="H151">
        <v>57</v>
      </c>
      <c r="I151">
        <v>366</v>
      </c>
      <c r="J151">
        <v>2</v>
      </c>
      <c r="K151">
        <v>1650</v>
      </c>
      <c r="L151">
        <v>4.0999999999999996</v>
      </c>
      <c r="M151">
        <v>46</v>
      </c>
      <c r="N151">
        <v>23</v>
      </c>
      <c r="O151">
        <v>8</v>
      </c>
      <c r="P151">
        <v>1</v>
      </c>
      <c r="Q151">
        <v>8</v>
      </c>
      <c r="R151">
        <v>2018</v>
      </c>
      <c r="S151">
        <v>7.3870281770000004</v>
      </c>
      <c r="T151">
        <v>19800</v>
      </c>
      <c r="U151">
        <v>49.91</v>
      </c>
      <c r="V151">
        <v>4.0999999999999996</v>
      </c>
      <c r="W151">
        <v>20.32833333</v>
      </c>
      <c r="X151">
        <v>49.9</v>
      </c>
      <c r="Y151">
        <v>4.2</v>
      </c>
      <c r="Z151">
        <v>36.442</v>
      </c>
      <c r="AA151">
        <v>49.9</v>
      </c>
      <c r="AB151">
        <v>4.0999999999999996</v>
      </c>
      <c r="AC151">
        <v>32.32</v>
      </c>
      <c r="AD151">
        <v>49.9</v>
      </c>
      <c r="AE151">
        <f>Table1[[#This Row],[total_price]]/Table1[[#This Row],[qty]]</f>
        <v>49.9</v>
      </c>
      <c r="AF151">
        <f t="shared" si="2"/>
        <v>49.9</v>
      </c>
      <c r="AG151">
        <f>IF(ROW()=2, "", AVERAGE(D$2:D150))</f>
        <v>12.979865771812081</v>
      </c>
    </row>
    <row r="152" spans="1:33" x14ac:dyDescent="0.25">
      <c r="A152" t="s">
        <v>47</v>
      </c>
      <c r="B152" t="s">
        <v>48</v>
      </c>
      <c r="C152" s="1">
        <v>42745</v>
      </c>
      <c r="D152">
        <v>1</v>
      </c>
      <c r="E152">
        <v>167</v>
      </c>
      <c r="F152">
        <v>14.92</v>
      </c>
      <c r="G152">
        <v>167</v>
      </c>
      <c r="H152">
        <v>33</v>
      </c>
      <c r="I152">
        <v>300</v>
      </c>
      <c r="J152">
        <v>1</v>
      </c>
      <c r="K152">
        <v>207</v>
      </c>
      <c r="L152">
        <v>3.5</v>
      </c>
      <c r="M152">
        <v>31</v>
      </c>
      <c r="N152">
        <v>22</v>
      </c>
      <c r="O152">
        <v>9</v>
      </c>
      <c r="P152">
        <v>2</v>
      </c>
      <c r="Q152">
        <v>10</v>
      </c>
      <c r="R152">
        <v>2017</v>
      </c>
      <c r="S152">
        <v>33.333333330000002</v>
      </c>
      <c r="T152">
        <v>2926</v>
      </c>
      <c r="U152">
        <v>154.69588239999999</v>
      </c>
      <c r="V152">
        <v>4.2</v>
      </c>
      <c r="W152">
        <v>43.88117647</v>
      </c>
      <c r="X152">
        <v>167</v>
      </c>
      <c r="Y152">
        <v>3.5</v>
      </c>
      <c r="Z152">
        <v>14.92</v>
      </c>
      <c r="AA152">
        <v>167</v>
      </c>
      <c r="AB152">
        <v>3.5</v>
      </c>
      <c r="AC152">
        <v>14.92</v>
      </c>
      <c r="AD152">
        <v>166.95</v>
      </c>
      <c r="AE152">
        <f>Table1[[#This Row],[total_price]]/Table1[[#This Row],[qty]]</f>
        <v>167</v>
      </c>
      <c r="AF152" t="str">
        <f t="shared" si="2"/>
        <v/>
      </c>
      <c r="AG152">
        <f>IF(ROW()=2, "", AVERAGE(D$2:D151))</f>
        <v>12.933333333333334</v>
      </c>
    </row>
    <row r="153" spans="1:33" x14ac:dyDescent="0.25">
      <c r="A153" t="s">
        <v>47</v>
      </c>
      <c r="B153" t="s">
        <v>48</v>
      </c>
      <c r="C153" s="1">
        <v>42747</v>
      </c>
      <c r="D153">
        <v>2</v>
      </c>
      <c r="E153">
        <v>239.8</v>
      </c>
      <c r="F153">
        <v>13.44</v>
      </c>
      <c r="G153">
        <v>119.9</v>
      </c>
      <c r="H153">
        <v>33</v>
      </c>
      <c r="I153">
        <v>300</v>
      </c>
      <c r="J153">
        <v>1</v>
      </c>
      <c r="K153">
        <v>207</v>
      </c>
      <c r="L153">
        <v>3.5</v>
      </c>
      <c r="M153">
        <v>35</v>
      </c>
      <c r="N153">
        <v>21</v>
      </c>
      <c r="O153">
        <v>10</v>
      </c>
      <c r="P153">
        <v>1</v>
      </c>
      <c r="Q153">
        <v>12</v>
      </c>
      <c r="R153">
        <v>2017</v>
      </c>
      <c r="S153">
        <v>66.666666669999998</v>
      </c>
      <c r="T153">
        <v>2926</v>
      </c>
      <c r="U153">
        <v>149.99</v>
      </c>
      <c r="V153">
        <v>4.2</v>
      </c>
      <c r="W153">
        <v>38.57</v>
      </c>
      <c r="X153">
        <v>119.9</v>
      </c>
      <c r="Y153">
        <v>3.5</v>
      </c>
      <c r="Z153">
        <v>13.44</v>
      </c>
      <c r="AA153">
        <v>109.9</v>
      </c>
      <c r="AB153">
        <v>3.5</v>
      </c>
      <c r="AC153">
        <v>25.249166670000001</v>
      </c>
      <c r="AD153">
        <v>119.85</v>
      </c>
      <c r="AE153">
        <f>Table1[[#This Row],[total_price]]/Table1[[#This Row],[qty]]</f>
        <v>119.9</v>
      </c>
      <c r="AF153">
        <f t="shared" si="2"/>
        <v>167</v>
      </c>
      <c r="AG153">
        <f>IF(ROW()=2, "", AVERAGE(D$2:D152))</f>
        <v>12.85430463576159</v>
      </c>
    </row>
    <row r="154" spans="1:33" x14ac:dyDescent="0.25">
      <c r="A154" t="s">
        <v>47</v>
      </c>
      <c r="B154" t="s">
        <v>48</v>
      </c>
      <c r="C154" s="1">
        <v>43101</v>
      </c>
      <c r="D154">
        <v>57</v>
      </c>
      <c r="E154">
        <v>5453.96</v>
      </c>
      <c r="F154">
        <v>12.23912281</v>
      </c>
      <c r="G154">
        <v>93.094893619999993</v>
      </c>
      <c r="H154">
        <v>33</v>
      </c>
      <c r="I154">
        <v>300</v>
      </c>
      <c r="J154">
        <v>1</v>
      </c>
      <c r="K154">
        <v>207</v>
      </c>
      <c r="L154">
        <v>3.5</v>
      </c>
      <c r="M154">
        <v>152</v>
      </c>
      <c r="N154">
        <v>23</v>
      </c>
      <c r="O154">
        <v>8</v>
      </c>
      <c r="P154">
        <v>2</v>
      </c>
      <c r="Q154">
        <v>1</v>
      </c>
      <c r="R154">
        <v>2018</v>
      </c>
      <c r="S154">
        <v>45.967741940000003</v>
      </c>
      <c r="T154">
        <v>2926</v>
      </c>
      <c r="U154">
        <v>156.5113514</v>
      </c>
      <c r="V154">
        <v>4.2</v>
      </c>
      <c r="W154">
        <v>36.807209299999997</v>
      </c>
      <c r="X154">
        <v>150.3545455</v>
      </c>
      <c r="Y154">
        <v>4.3</v>
      </c>
      <c r="Z154">
        <v>22.547727269999999</v>
      </c>
      <c r="AA154">
        <v>97.642499999999998</v>
      </c>
      <c r="AB154">
        <v>3.5</v>
      </c>
      <c r="AC154">
        <v>14.846551720000001</v>
      </c>
      <c r="AD154">
        <v>119.9</v>
      </c>
      <c r="AE154">
        <f>Table1[[#This Row],[total_price]]/Table1[[#This Row],[qty]]</f>
        <v>95.683508771929823</v>
      </c>
      <c r="AF154">
        <f t="shared" si="2"/>
        <v>119.9</v>
      </c>
      <c r="AG154">
        <f>IF(ROW()=2, "", AVERAGE(D$2:D153))</f>
        <v>12.782894736842104</v>
      </c>
    </row>
    <row r="155" spans="1:33" x14ac:dyDescent="0.25">
      <c r="A155" t="s">
        <v>47</v>
      </c>
      <c r="B155" t="s">
        <v>48</v>
      </c>
      <c r="C155" s="1">
        <v>43102</v>
      </c>
      <c r="D155">
        <v>45</v>
      </c>
      <c r="E155">
        <v>3465.8</v>
      </c>
      <c r="F155">
        <v>11.513111110000001</v>
      </c>
      <c r="G155">
        <v>77.155000000000001</v>
      </c>
      <c r="H155">
        <v>33</v>
      </c>
      <c r="I155">
        <v>300</v>
      </c>
      <c r="J155">
        <v>1</v>
      </c>
      <c r="K155">
        <v>207</v>
      </c>
      <c r="L155">
        <v>3.5</v>
      </c>
      <c r="M155">
        <v>202</v>
      </c>
      <c r="N155">
        <v>20</v>
      </c>
      <c r="O155">
        <v>8</v>
      </c>
      <c r="P155">
        <v>2</v>
      </c>
      <c r="Q155">
        <v>2</v>
      </c>
      <c r="R155">
        <v>2018</v>
      </c>
      <c r="S155">
        <v>36.290322580000002</v>
      </c>
      <c r="T155">
        <v>2926</v>
      </c>
      <c r="U155">
        <v>149</v>
      </c>
      <c r="V155">
        <v>4.2</v>
      </c>
      <c r="W155">
        <v>41.16322581</v>
      </c>
      <c r="X155">
        <v>149.9</v>
      </c>
      <c r="Y155">
        <v>4.3</v>
      </c>
      <c r="Z155">
        <v>26.552898549999998</v>
      </c>
      <c r="AA155">
        <v>78.712280699999994</v>
      </c>
      <c r="AB155">
        <v>3.5</v>
      </c>
      <c r="AC155">
        <v>14.535915490000001</v>
      </c>
      <c r="AD155">
        <v>93.094893619999993</v>
      </c>
      <c r="AE155">
        <f>Table1[[#This Row],[total_price]]/Table1[[#This Row],[qty]]</f>
        <v>77.017777777777781</v>
      </c>
      <c r="AF155">
        <f t="shared" si="2"/>
        <v>95.683508771929823</v>
      </c>
      <c r="AG155">
        <f>IF(ROW()=2, "", AVERAGE(D$2:D154))</f>
        <v>13.071895424836601</v>
      </c>
    </row>
    <row r="156" spans="1:33" x14ac:dyDescent="0.25">
      <c r="A156" t="s">
        <v>47</v>
      </c>
      <c r="B156" t="s">
        <v>48</v>
      </c>
      <c r="C156" s="1">
        <v>43103</v>
      </c>
      <c r="D156">
        <v>6</v>
      </c>
      <c r="E156">
        <v>528</v>
      </c>
      <c r="F156">
        <v>17.553333330000001</v>
      </c>
      <c r="G156">
        <v>88</v>
      </c>
      <c r="H156">
        <v>33</v>
      </c>
      <c r="I156">
        <v>300</v>
      </c>
      <c r="J156">
        <v>1</v>
      </c>
      <c r="K156">
        <v>207</v>
      </c>
      <c r="L156">
        <v>3.5</v>
      </c>
      <c r="M156">
        <v>127</v>
      </c>
      <c r="N156">
        <v>22</v>
      </c>
      <c r="O156">
        <v>9</v>
      </c>
      <c r="P156">
        <v>1</v>
      </c>
      <c r="Q156">
        <v>3</v>
      </c>
      <c r="R156">
        <v>2018</v>
      </c>
      <c r="S156">
        <v>4.8387096769999998</v>
      </c>
      <c r="T156">
        <v>2926</v>
      </c>
      <c r="U156">
        <v>136.14285709999999</v>
      </c>
      <c r="V156">
        <v>4.2</v>
      </c>
      <c r="W156">
        <v>48.047499999999999</v>
      </c>
      <c r="X156">
        <v>149.9</v>
      </c>
      <c r="Y156">
        <v>4.3</v>
      </c>
      <c r="Z156">
        <v>28.475882349999999</v>
      </c>
      <c r="AA156">
        <v>81.023913039999996</v>
      </c>
      <c r="AB156">
        <v>3.5</v>
      </c>
      <c r="AC156">
        <v>18.221481480000001</v>
      </c>
      <c r="AD156">
        <v>77.155000000000001</v>
      </c>
      <c r="AE156">
        <f>Table1[[#This Row],[total_price]]/Table1[[#This Row],[qty]]</f>
        <v>88</v>
      </c>
      <c r="AF156">
        <f t="shared" si="2"/>
        <v>77.017777777777781</v>
      </c>
      <c r="AG156">
        <f>IF(ROW()=2, "", AVERAGE(D$2:D155))</f>
        <v>13.279220779220779</v>
      </c>
    </row>
    <row r="157" spans="1:33" x14ac:dyDescent="0.25">
      <c r="A157" t="s">
        <v>47</v>
      </c>
      <c r="B157" t="s">
        <v>48</v>
      </c>
      <c r="C157" s="1">
        <v>43104</v>
      </c>
      <c r="D157">
        <v>10</v>
      </c>
      <c r="E157">
        <v>880</v>
      </c>
      <c r="F157">
        <v>10.869</v>
      </c>
      <c r="G157">
        <v>88</v>
      </c>
      <c r="H157">
        <v>33</v>
      </c>
      <c r="I157">
        <v>300</v>
      </c>
      <c r="J157">
        <v>1</v>
      </c>
      <c r="K157">
        <v>207</v>
      </c>
      <c r="L157">
        <v>3.5</v>
      </c>
      <c r="M157">
        <v>107</v>
      </c>
      <c r="N157">
        <v>21</v>
      </c>
      <c r="O157">
        <v>9</v>
      </c>
      <c r="P157">
        <v>1</v>
      </c>
      <c r="Q157">
        <v>4</v>
      </c>
      <c r="R157">
        <v>2018</v>
      </c>
      <c r="S157">
        <v>8.0645161289999994</v>
      </c>
      <c r="T157">
        <v>2926</v>
      </c>
      <c r="U157">
        <v>120.9230769</v>
      </c>
      <c r="V157">
        <v>4.2</v>
      </c>
      <c r="W157">
        <v>27.253035709999999</v>
      </c>
      <c r="X157">
        <v>149.9</v>
      </c>
      <c r="Y157">
        <v>4.3</v>
      </c>
      <c r="Z157">
        <v>30.227428570000001</v>
      </c>
      <c r="AA157">
        <v>80.666666669999998</v>
      </c>
      <c r="AB157">
        <v>3.5</v>
      </c>
      <c r="AC157">
        <v>18.17230769</v>
      </c>
      <c r="AD157">
        <v>88</v>
      </c>
      <c r="AE157">
        <f>Table1[[#This Row],[total_price]]/Table1[[#This Row],[qty]]</f>
        <v>88</v>
      </c>
      <c r="AF157">
        <f t="shared" si="2"/>
        <v>88</v>
      </c>
      <c r="AG157">
        <f>IF(ROW()=2, "", AVERAGE(D$2:D156))</f>
        <v>13.232258064516129</v>
      </c>
    </row>
    <row r="158" spans="1:33" x14ac:dyDescent="0.25">
      <c r="A158" t="s">
        <v>47</v>
      </c>
      <c r="B158" t="s">
        <v>48</v>
      </c>
      <c r="C158" s="1">
        <v>43106</v>
      </c>
      <c r="D158">
        <v>3</v>
      </c>
      <c r="E158">
        <v>269.7</v>
      </c>
      <c r="F158">
        <v>21.826666670000002</v>
      </c>
      <c r="G158">
        <v>89.9</v>
      </c>
      <c r="H158">
        <v>33</v>
      </c>
      <c r="I158">
        <v>300</v>
      </c>
      <c r="J158">
        <v>1</v>
      </c>
      <c r="K158">
        <v>207</v>
      </c>
      <c r="L158">
        <v>3.5</v>
      </c>
      <c r="M158">
        <v>66</v>
      </c>
      <c r="N158">
        <v>21</v>
      </c>
      <c r="O158">
        <v>9</v>
      </c>
      <c r="P158">
        <v>0</v>
      </c>
      <c r="Q158">
        <v>6</v>
      </c>
      <c r="R158">
        <v>2018</v>
      </c>
      <c r="S158">
        <v>2.4193548389999999</v>
      </c>
      <c r="T158">
        <v>2926</v>
      </c>
      <c r="U158">
        <v>114.49115380000001</v>
      </c>
      <c r="V158">
        <v>4.2</v>
      </c>
      <c r="W158">
        <v>53.625555560000002</v>
      </c>
      <c r="X158">
        <v>149.9</v>
      </c>
      <c r="Y158">
        <v>4.3</v>
      </c>
      <c r="Z158">
        <v>27.626666669999999</v>
      </c>
      <c r="AA158">
        <v>78.900000000000006</v>
      </c>
      <c r="AB158">
        <v>3.5</v>
      </c>
      <c r="AC158">
        <v>17.327999999999999</v>
      </c>
      <c r="AD158">
        <v>89.85</v>
      </c>
      <c r="AE158">
        <f>Table1[[#This Row],[total_price]]/Table1[[#This Row],[qty]]</f>
        <v>89.899999999999991</v>
      </c>
      <c r="AF158">
        <f t="shared" si="2"/>
        <v>88</v>
      </c>
      <c r="AG158">
        <f>IF(ROW()=2, "", AVERAGE(D$2:D157))</f>
        <v>13.211538461538462</v>
      </c>
    </row>
    <row r="159" spans="1:33" x14ac:dyDescent="0.25">
      <c r="A159" t="s">
        <v>47</v>
      </c>
      <c r="B159" t="s">
        <v>48</v>
      </c>
      <c r="C159" s="1">
        <v>43107</v>
      </c>
      <c r="D159">
        <v>3</v>
      </c>
      <c r="E159">
        <v>236.7</v>
      </c>
      <c r="F159">
        <v>13.41333333</v>
      </c>
      <c r="G159">
        <v>78.900000000000006</v>
      </c>
      <c r="H159">
        <v>33</v>
      </c>
      <c r="I159">
        <v>300</v>
      </c>
      <c r="J159">
        <v>1</v>
      </c>
      <c r="K159">
        <v>207</v>
      </c>
      <c r="L159">
        <v>3.5</v>
      </c>
      <c r="M159">
        <v>43</v>
      </c>
      <c r="N159">
        <v>22</v>
      </c>
      <c r="O159">
        <v>9</v>
      </c>
      <c r="P159">
        <v>1</v>
      </c>
      <c r="Q159">
        <v>7</v>
      </c>
      <c r="R159">
        <v>2018</v>
      </c>
      <c r="S159">
        <v>2.4193548389999999</v>
      </c>
      <c r="T159">
        <v>2926</v>
      </c>
      <c r="U159">
        <v>119.99</v>
      </c>
      <c r="V159">
        <v>4.2</v>
      </c>
      <c r="W159">
        <v>48.626666669999999</v>
      </c>
      <c r="X159">
        <v>149.9</v>
      </c>
      <c r="Y159">
        <v>4.3</v>
      </c>
      <c r="Z159">
        <v>33.571538459999999</v>
      </c>
      <c r="AA159">
        <v>77.900000000000006</v>
      </c>
      <c r="AB159">
        <v>3.5</v>
      </c>
      <c r="AC159">
        <v>14.638571430000001</v>
      </c>
      <c r="AD159">
        <v>89.9</v>
      </c>
      <c r="AE159">
        <f>Table1[[#This Row],[total_price]]/Table1[[#This Row],[qty]]</f>
        <v>78.899999999999991</v>
      </c>
      <c r="AF159">
        <f t="shared" si="2"/>
        <v>89.899999999999991</v>
      </c>
      <c r="AG159">
        <f>IF(ROW()=2, "", AVERAGE(D$2:D158))</f>
        <v>13.146496815286625</v>
      </c>
    </row>
    <row r="160" spans="1:33" x14ac:dyDescent="0.25">
      <c r="A160" t="s">
        <v>49</v>
      </c>
      <c r="B160" t="s">
        <v>33</v>
      </c>
      <c r="C160" s="1">
        <v>42740</v>
      </c>
      <c r="D160">
        <v>3</v>
      </c>
      <c r="E160">
        <v>179.7</v>
      </c>
      <c r="F160">
        <v>26.24666667</v>
      </c>
      <c r="G160">
        <v>59.9</v>
      </c>
      <c r="H160">
        <v>59</v>
      </c>
      <c r="I160">
        <v>341</v>
      </c>
      <c r="J160">
        <v>2</v>
      </c>
      <c r="K160">
        <v>1750</v>
      </c>
      <c r="L160">
        <v>4.2</v>
      </c>
      <c r="M160">
        <v>34</v>
      </c>
      <c r="N160">
        <v>23</v>
      </c>
      <c r="O160">
        <v>8</v>
      </c>
      <c r="P160">
        <v>1</v>
      </c>
      <c r="Q160">
        <v>5</v>
      </c>
      <c r="R160">
        <v>2017</v>
      </c>
      <c r="S160">
        <v>9.1151640650000001</v>
      </c>
      <c r="T160">
        <v>32560</v>
      </c>
      <c r="U160">
        <v>59.9</v>
      </c>
      <c r="V160">
        <v>4.0999999999999996</v>
      </c>
      <c r="W160">
        <v>19.732500000000002</v>
      </c>
      <c r="X160">
        <v>59.9</v>
      </c>
      <c r="Y160">
        <v>4.2</v>
      </c>
      <c r="Z160">
        <v>26.24666667</v>
      </c>
      <c r="AA160">
        <v>59.9</v>
      </c>
      <c r="AB160">
        <v>4.2</v>
      </c>
      <c r="AC160">
        <v>26.24666667</v>
      </c>
      <c r="AD160">
        <v>59.85</v>
      </c>
      <c r="AE160">
        <f>Table1[[#This Row],[total_price]]/Table1[[#This Row],[qty]]</f>
        <v>59.9</v>
      </c>
      <c r="AF160" t="str">
        <f t="shared" si="2"/>
        <v/>
      </c>
      <c r="AG160">
        <f>IF(ROW()=2, "", AVERAGE(D$2:D159))</f>
        <v>13.082278481012658</v>
      </c>
    </row>
    <row r="161" spans="1:33" x14ac:dyDescent="0.25">
      <c r="A161" t="s">
        <v>49</v>
      </c>
      <c r="B161" t="s">
        <v>33</v>
      </c>
      <c r="C161" s="1">
        <v>42741</v>
      </c>
      <c r="D161">
        <v>3</v>
      </c>
      <c r="E161">
        <v>179.7</v>
      </c>
      <c r="F161">
        <v>16.260000000000002</v>
      </c>
      <c r="G161">
        <v>59.9</v>
      </c>
      <c r="H161">
        <v>59</v>
      </c>
      <c r="I161">
        <v>341</v>
      </c>
      <c r="J161">
        <v>2</v>
      </c>
      <c r="K161">
        <v>1750</v>
      </c>
      <c r="L161">
        <v>4.2</v>
      </c>
      <c r="M161">
        <v>26</v>
      </c>
      <c r="N161">
        <v>22</v>
      </c>
      <c r="O161">
        <v>8</v>
      </c>
      <c r="P161">
        <v>1</v>
      </c>
      <c r="Q161">
        <v>6</v>
      </c>
      <c r="R161">
        <v>2017</v>
      </c>
      <c r="S161">
        <v>2.4291175530000002</v>
      </c>
      <c r="T161">
        <v>32560</v>
      </c>
      <c r="U161">
        <v>59.9</v>
      </c>
      <c r="V161">
        <v>4.0999999999999996</v>
      </c>
      <c r="W161">
        <v>17.670000000000002</v>
      </c>
      <c r="X161">
        <v>59.9</v>
      </c>
      <c r="Y161">
        <v>4.2</v>
      </c>
      <c r="Z161">
        <v>16.260000000000002</v>
      </c>
      <c r="AA161">
        <v>59.9</v>
      </c>
      <c r="AB161">
        <v>4.2</v>
      </c>
      <c r="AC161">
        <v>16.260000000000002</v>
      </c>
      <c r="AD161">
        <v>59.9</v>
      </c>
      <c r="AE161">
        <f>Table1[[#This Row],[total_price]]/Table1[[#This Row],[qty]]</f>
        <v>59.9</v>
      </c>
      <c r="AF161">
        <f t="shared" si="2"/>
        <v>59.9</v>
      </c>
      <c r="AG161">
        <f>IF(ROW()=2, "", AVERAGE(D$2:D160))</f>
        <v>13.018867924528301</v>
      </c>
    </row>
    <row r="162" spans="1:33" x14ac:dyDescent="0.25">
      <c r="A162" t="s">
        <v>49</v>
      </c>
      <c r="B162" t="s">
        <v>33</v>
      </c>
      <c r="C162" s="1">
        <v>42742</v>
      </c>
      <c r="D162">
        <v>19</v>
      </c>
      <c r="E162">
        <v>1138.0999999999999</v>
      </c>
      <c r="F162">
        <v>16.111578949999998</v>
      </c>
      <c r="G162">
        <v>59.9</v>
      </c>
      <c r="H162">
        <v>59</v>
      </c>
      <c r="I162">
        <v>341</v>
      </c>
      <c r="J162">
        <v>2</v>
      </c>
      <c r="K162">
        <v>1750</v>
      </c>
      <c r="L162">
        <v>4.2</v>
      </c>
      <c r="M162">
        <v>74</v>
      </c>
      <c r="N162">
        <v>21</v>
      </c>
      <c r="O162">
        <v>10</v>
      </c>
      <c r="P162">
        <v>1</v>
      </c>
      <c r="Q162">
        <v>7</v>
      </c>
      <c r="R162">
        <v>2017</v>
      </c>
      <c r="S162">
        <v>8.4076669850000005</v>
      </c>
      <c r="T162">
        <v>32560</v>
      </c>
      <c r="U162">
        <v>59.9</v>
      </c>
      <c r="V162">
        <v>4.0999999999999996</v>
      </c>
      <c r="W162">
        <v>16.626428570000002</v>
      </c>
      <c r="X162">
        <v>59.9</v>
      </c>
      <c r="Y162">
        <v>4.2</v>
      </c>
      <c r="Z162">
        <v>16.111578949999998</v>
      </c>
      <c r="AA162">
        <v>59.9</v>
      </c>
      <c r="AB162">
        <v>4.0999999999999996</v>
      </c>
      <c r="AC162">
        <v>15.392307690000001</v>
      </c>
      <c r="AD162">
        <v>59.9</v>
      </c>
      <c r="AE162">
        <f>Table1[[#This Row],[total_price]]/Table1[[#This Row],[qty]]</f>
        <v>59.9</v>
      </c>
      <c r="AF162">
        <f t="shared" si="2"/>
        <v>59.9</v>
      </c>
      <c r="AG162">
        <f>IF(ROW()=2, "", AVERAGE(D$2:D161))</f>
        <v>12.956250000000001</v>
      </c>
    </row>
    <row r="163" spans="1:33" x14ac:dyDescent="0.25">
      <c r="A163" t="s">
        <v>49</v>
      </c>
      <c r="B163" t="s">
        <v>33</v>
      </c>
      <c r="C163" s="1">
        <v>42743</v>
      </c>
      <c r="D163">
        <v>27</v>
      </c>
      <c r="E163">
        <v>1617.3</v>
      </c>
      <c r="F163">
        <v>17.68111111</v>
      </c>
      <c r="G163">
        <v>59.9</v>
      </c>
      <c r="H163">
        <v>59</v>
      </c>
      <c r="I163">
        <v>341</v>
      </c>
      <c r="J163">
        <v>2</v>
      </c>
      <c r="K163">
        <v>1750</v>
      </c>
      <c r="L163">
        <v>4.2</v>
      </c>
      <c r="M163">
        <v>113</v>
      </c>
      <c r="N163">
        <v>23</v>
      </c>
      <c r="O163">
        <v>8</v>
      </c>
      <c r="P163">
        <v>1</v>
      </c>
      <c r="Q163">
        <v>8</v>
      </c>
      <c r="R163">
        <v>2017</v>
      </c>
      <c r="S163">
        <v>9.0713603060000008</v>
      </c>
      <c r="T163">
        <v>32560</v>
      </c>
      <c r="U163">
        <v>59.9</v>
      </c>
      <c r="V163">
        <v>4.0999999999999996</v>
      </c>
      <c r="W163">
        <v>18.162307689999999</v>
      </c>
      <c r="X163">
        <v>59.9</v>
      </c>
      <c r="Y163">
        <v>4.2</v>
      </c>
      <c r="Z163">
        <v>17.68111111</v>
      </c>
      <c r="AA163">
        <v>59.9</v>
      </c>
      <c r="AB163">
        <v>4.0999999999999996</v>
      </c>
      <c r="AC163">
        <v>18.05043478</v>
      </c>
      <c r="AD163">
        <v>59.9</v>
      </c>
      <c r="AE163">
        <f>Table1[[#This Row],[total_price]]/Table1[[#This Row],[qty]]</f>
        <v>59.9</v>
      </c>
      <c r="AF163">
        <f t="shared" si="2"/>
        <v>59.9</v>
      </c>
      <c r="AG163">
        <f>IF(ROW()=2, "", AVERAGE(D$2:D162))</f>
        <v>12.993788819875776</v>
      </c>
    </row>
    <row r="164" spans="1:33" x14ac:dyDescent="0.25">
      <c r="A164" t="s">
        <v>49</v>
      </c>
      <c r="B164" t="s">
        <v>33</v>
      </c>
      <c r="C164" s="1">
        <v>42744</v>
      </c>
      <c r="D164">
        <v>17</v>
      </c>
      <c r="E164">
        <v>1018.3</v>
      </c>
      <c r="F164">
        <v>16.811764709999999</v>
      </c>
      <c r="G164">
        <v>59.9</v>
      </c>
      <c r="H164">
        <v>59</v>
      </c>
      <c r="I164">
        <v>341</v>
      </c>
      <c r="J164">
        <v>2</v>
      </c>
      <c r="K164">
        <v>1750</v>
      </c>
      <c r="L164">
        <v>4.2</v>
      </c>
      <c r="M164">
        <v>115</v>
      </c>
      <c r="N164">
        <v>21</v>
      </c>
      <c r="O164">
        <v>9</v>
      </c>
      <c r="P164">
        <v>1</v>
      </c>
      <c r="Q164">
        <v>9</v>
      </c>
      <c r="R164">
        <v>2017</v>
      </c>
      <c r="S164">
        <v>7.7625570780000004</v>
      </c>
      <c r="T164">
        <v>32560</v>
      </c>
      <c r="U164">
        <v>59.9</v>
      </c>
      <c r="V164">
        <v>4.0999999999999996</v>
      </c>
      <c r="W164">
        <v>17.187027029999999</v>
      </c>
      <c r="X164">
        <v>59.9</v>
      </c>
      <c r="Y164">
        <v>4.2</v>
      </c>
      <c r="Z164">
        <v>16.811764709999999</v>
      </c>
      <c r="AA164">
        <v>59.9</v>
      </c>
      <c r="AB164">
        <v>4.0999999999999996</v>
      </c>
      <c r="AC164">
        <v>16.29461538</v>
      </c>
      <c r="AD164">
        <v>59.9</v>
      </c>
      <c r="AE164">
        <f>Table1[[#This Row],[total_price]]/Table1[[#This Row],[qty]]</f>
        <v>59.9</v>
      </c>
      <c r="AF164">
        <f t="shared" si="2"/>
        <v>59.9</v>
      </c>
      <c r="AG164">
        <f>IF(ROW()=2, "", AVERAGE(D$2:D163))</f>
        <v>13.080246913580247</v>
      </c>
    </row>
    <row r="165" spans="1:33" x14ac:dyDescent="0.25">
      <c r="A165" t="s">
        <v>49</v>
      </c>
      <c r="B165" t="s">
        <v>33</v>
      </c>
      <c r="C165" s="1">
        <v>42745</v>
      </c>
      <c r="D165">
        <v>31</v>
      </c>
      <c r="E165">
        <v>1856.9</v>
      </c>
      <c r="F165">
        <v>17.595483869999999</v>
      </c>
      <c r="G165">
        <v>59.9</v>
      </c>
      <c r="H165">
        <v>59</v>
      </c>
      <c r="I165">
        <v>341</v>
      </c>
      <c r="J165">
        <v>2</v>
      </c>
      <c r="K165">
        <v>1750</v>
      </c>
      <c r="L165">
        <v>4.2</v>
      </c>
      <c r="M165">
        <v>146</v>
      </c>
      <c r="N165">
        <v>22</v>
      </c>
      <c r="O165">
        <v>9</v>
      </c>
      <c r="P165">
        <v>2</v>
      </c>
      <c r="Q165">
        <v>10</v>
      </c>
      <c r="R165">
        <v>2017</v>
      </c>
      <c r="S165">
        <v>14.155251140000001</v>
      </c>
      <c r="T165">
        <v>32560</v>
      </c>
      <c r="U165">
        <v>59.9</v>
      </c>
      <c r="V165">
        <v>4.0999999999999996</v>
      </c>
      <c r="W165">
        <v>18.065897440000001</v>
      </c>
      <c r="X165">
        <v>59.9</v>
      </c>
      <c r="Y165">
        <v>4.2</v>
      </c>
      <c r="Z165">
        <v>17.595483869999999</v>
      </c>
      <c r="AA165">
        <v>59.9</v>
      </c>
      <c r="AB165">
        <v>4.0999999999999996</v>
      </c>
      <c r="AC165">
        <v>16.814166669999999</v>
      </c>
      <c r="AD165">
        <v>59.9</v>
      </c>
      <c r="AE165">
        <f>Table1[[#This Row],[total_price]]/Table1[[#This Row],[qty]]</f>
        <v>59.900000000000006</v>
      </c>
      <c r="AF165">
        <f t="shared" si="2"/>
        <v>59.9</v>
      </c>
      <c r="AG165">
        <f>IF(ROW()=2, "", AVERAGE(D$2:D164))</f>
        <v>13.104294478527608</v>
      </c>
    </row>
    <row r="166" spans="1:33" x14ac:dyDescent="0.25">
      <c r="A166" t="s">
        <v>49</v>
      </c>
      <c r="B166" t="s">
        <v>33</v>
      </c>
      <c r="C166" s="1">
        <v>42746</v>
      </c>
      <c r="D166">
        <v>87</v>
      </c>
      <c r="E166">
        <v>4712.1899999999996</v>
      </c>
      <c r="F166">
        <v>16.075862069999999</v>
      </c>
      <c r="G166">
        <v>53.648281249999997</v>
      </c>
      <c r="H166">
        <v>59</v>
      </c>
      <c r="I166">
        <v>341</v>
      </c>
      <c r="J166">
        <v>2</v>
      </c>
      <c r="K166">
        <v>1750</v>
      </c>
      <c r="L166">
        <v>4.2</v>
      </c>
      <c r="M166">
        <v>339</v>
      </c>
      <c r="N166">
        <v>22</v>
      </c>
      <c r="O166">
        <v>8</v>
      </c>
      <c r="P166">
        <v>4</v>
      </c>
      <c r="Q166">
        <v>11</v>
      </c>
      <c r="R166">
        <v>2017</v>
      </c>
      <c r="S166">
        <v>39.7260274</v>
      </c>
      <c r="T166">
        <v>32560</v>
      </c>
      <c r="U166">
        <v>52.406944439999997</v>
      </c>
      <c r="V166">
        <v>4.0999999999999996</v>
      </c>
      <c r="W166">
        <v>17.06747253</v>
      </c>
      <c r="X166">
        <v>53.648281249999997</v>
      </c>
      <c r="Y166">
        <v>4.2</v>
      </c>
      <c r="Z166">
        <v>16.075862069999999</v>
      </c>
      <c r="AA166">
        <v>53.785714290000001</v>
      </c>
      <c r="AB166">
        <v>4.0999999999999996</v>
      </c>
      <c r="AC166">
        <v>18.27550725</v>
      </c>
      <c r="AD166">
        <v>59.9</v>
      </c>
      <c r="AE166">
        <f>Table1[[#This Row],[total_price]]/Table1[[#This Row],[qty]]</f>
        <v>54.163103448275855</v>
      </c>
      <c r="AF166">
        <f t="shared" si="2"/>
        <v>59.900000000000006</v>
      </c>
      <c r="AG166">
        <f>IF(ROW()=2, "", AVERAGE(D$2:D165))</f>
        <v>13.213414634146341</v>
      </c>
    </row>
    <row r="167" spans="1:33" x14ac:dyDescent="0.25">
      <c r="A167" t="s">
        <v>49</v>
      </c>
      <c r="B167" t="s">
        <v>33</v>
      </c>
      <c r="C167" s="1">
        <v>42747</v>
      </c>
      <c r="D167">
        <v>32</v>
      </c>
      <c r="E167">
        <v>1769.7</v>
      </c>
      <c r="F167">
        <v>19.184374999999999</v>
      </c>
      <c r="G167">
        <v>55.424999999999997</v>
      </c>
      <c r="H167">
        <v>59</v>
      </c>
      <c r="I167">
        <v>341</v>
      </c>
      <c r="J167">
        <v>2</v>
      </c>
      <c r="K167">
        <v>1750</v>
      </c>
      <c r="L167">
        <v>4.2</v>
      </c>
      <c r="M167">
        <v>184</v>
      </c>
      <c r="N167">
        <v>21</v>
      </c>
      <c r="O167">
        <v>10</v>
      </c>
      <c r="P167">
        <v>1</v>
      </c>
      <c r="Q167">
        <v>12</v>
      </c>
      <c r="R167">
        <v>2017</v>
      </c>
      <c r="S167">
        <v>14.61187215</v>
      </c>
      <c r="T167">
        <v>32560</v>
      </c>
      <c r="U167">
        <v>55.1</v>
      </c>
      <c r="V167">
        <v>4.0999999999999996</v>
      </c>
      <c r="W167">
        <v>15.759607839999999</v>
      </c>
      <c r="X167">
        <v>55.424999999999997</v>
      </c>
      <c r="Y167">
        <v>4.2</v>
      </c>
      <c r="Z167">
        <v>19.184374999999999</v>
      </c>
      <c r="AA167">
        <v>55.75</v>
      </c>
      <c r="AB167">
        <v>4.0999999999999996</v>
      </c>
      <c r="AC167">
        <v>17.267272729999998</v>
      </c>
      <c r="AD167">
        <v>53.648281249999997</v>
      </c>
      <c r="AE167">
        <f>Table1[[#This Row],[total_price]]/Table1[[#This Row],[qty]]</f>
        <v>55.303125000000001</v>
      </c>
      <c r="AF167">
        <f t="shared" si="2"/>
        <v>54.163103448275855</v>
      </c>
      <c r="AG167">
        <f>IF(ROW()=2, "", AVERAGE(D$2:D166))</f>
        <v>13.66060606060606</v>
      </c>
    </row>
    <row r="168" spans="1:33" x14ac:dyDescent="0.25">
      <c r="A168" t="s">
        <v>49</v>
      </c>
      <c r="B168" t="s">
        <v>33</v>
      </c>
      <c r="C168" s="1">
        <v>43101</v>
      </c>
      <c r="D168">
        <v>29</v>
      </c>
      <c r="E168">
        <v>1447.1</v>
      </c>
      <c r="F168">
        <v>15.841034479999999</v>
      </c>
      <c r="G168">
        <v>49.9</v>
      </c>
      <c r="H168">
        <v>59</v>
      </c>
      <c r="I168">
        <v>341</v>
      </c>
      <c r="J168">
        <v>2</v>
      </c>
      <c r="K168">
        <v>1750</v>
      </c>
      <c r="L168">
        <v>4.2</v>
      </c>
      <c r="M168">
        <v>137</v>
      </c>
      <c r="N168">
        <v>23</v>
      </c>
      <c r="O168">
        <v>8</v>
      </c>
      <c r="P168">
        <v>2</v>
      </c>
      <c r="Q168">
        <v>1</v>
      </c>
      <c r="R168">
        <v>2018</v>
      </c>
      <c r="S168">
        <v>16.860465120000001</v>
      </c>
      <c r="T168">
        <v>32560</v>
      </c>
      <c r="U168">
        <v>49.9</v>
      </c>
      <c r="V168">
        <v>4.0999999999999996</v>
      </c>
      <c r="W168">
        <v>19.495000000000001</v>
      </c>
      <c r="X168">
        <v>49.9</v>
      </c>
      <c r="Y168">
        <v>4.2</v>
      </c>
      <c r="Z168">
        <v>15.841034479999999</v>
      </c>
      <c r="AA168">
        <v>49.9</v>
      </c>
      <c r="AB168">
        <v>4.0999999999999996</v>
      </c>
      <c r="AC168">
        <v>16.505128209999999</v>
      </c>
      <c r="AD168">
        <v>55.424999999999997</v>
      </c>
      <c r="AE168">
        <f>Table1[[#This Row],[total_price]]/Table1[[#This Row],[qty]]</f>
        <v>49.9</v>
      </c>
      <c r="AF168">
        <f t="shared" si="2"/>
        <v>55.303125000000001</v>
      </c>
      <c r="AG168">
        <f>IF(ROW()=2, "", AVERAGE(D$2:D167))</f>
        <v>13.771084337349398</v>
      </c>
    </row>
    <row r="169" spans="1:33" x14ac:dyDescent="0.25">
      <c r="A169" t="s">
        <v>49</v>
      </c>
      <c r="B169" t="s">
        <v>33</v>
      </c>
      <c r="C169" s="1">
        <v>43102</v>
      </c>
      <c r="D169">
        <v>36</v>
      </c>
      <c r="E169">
        <v>1828.4</v>
      </c>
      <c r="F169">
        <v>17.519444440000001</v>
      </c>
      <c r="G169">
        <v>50.9</v>
      </c>
      <c r="H169">
        <v>59</v>
      </c>
      <c r="I169">
        <v>341</v>
      </c>
      <c r="J169">
        <v>2</v>
      </c>
      <c r="K169">
        <v>1750</v>
      </c>
      <c r="L169">
        <v>4.2</v>
      </c>
      <c r="M169">
        <v>160</v>
      </c>
      <c r="N169">
        <v>20</v>
      </c>
      <c r="O169">
        <v>8</v>
      </c>
      <c r="P169">
        <v>2</v>
      </c>
      <c r="Q169">
        <v>2</v>
      </c>
      <c r="R169">
        <v>2018</v>
      </c>
      <c r="S169">
        <v>20.93023256</v>
      </c>
      <c r="T169">
        <v>32560</v>
      </c>
      <c r="U169">
        <v>50.545161290000003</v>
      </c>
      <c r="V169">
        <v>4.0999999999999996</v>
      </c>
      <c r="W169">
        <v>16.611538459999998</v>
      </c>
      <c r="X169">
        <v>50.9</v>
      </c>
      <c r="Y169">
        <v>4.2</v>
      </c>
      <c r="Z169">
        <v>17.519444440000001</v>
      </c>
      <c r="AA169">
        <v>50.357142860000003</v>
      </c>
      <c r="AB169">
        <v>4.0999999999999996</v>
      </c>
      <c r="AC169">
        <v>18.281874999999999</v>
      </c>
      <c r="AD169">
        <v>49.9</v>
      </c>
      <c r="AE169">
        <f>Table1[[#This Row],[total_price]]/Table1[[#This Row],[qty]]</f>
        <v>50.788888888888891</v>
      </c>
      <c r="AF169">
        <f t="shared" si="2"/>
        <v>49.9</v>
      </c>
      <c r="AG169">
        <f>IF(ROW()=2, "", AVERAGE(D$2:D168))</f>
        <v>13.862275449101796</v>
      </c>
    </row>
    <row r="170" spans="1:33" x14ac:dyDescent="0.25">
      <c r="A170" t="s">
        <v>49</v>
      </c>
      <c r="B170" t="s">
        <v>33</v>
      </c>
      <c r="C170" s="1">
        <v>43103</v>
      </c>
      <c r="D170">
        <v>35</v>
      </c>
      <c r="E170">
        <v>1886.5</v>
      </c>
      <c r="F170">
        <v>21.852857140000001</v>
      </c>
      <c r="G170">
        <v>53.9</v>
      </c>
      <c r="H170">
        <v>59</v>
      </c>
      <c r="I170">
        <v>341</v>
      </c>
      <c r="J170">
        <v>2</v>
      </c>
      <c r="K170">
        <v>1750</v>
      </c>
      <c r="L170">
        <v>4.2</v>
      </c>
      <c r="M170">
        <v>116</v>
      </c>
      <c r="N170">
        <v>22</v>
      </c>
      <c r="O170">
        <v>9</v>
      </c>
      <c r="P170">
        <v>1</v>
      </c>
      <c r="Q170">
        <v>3</v>
      </c>
      <c r="R170">
        <v>2018</v>
      </c>
      <c r="S170">
        <v>20.348837209999999</v>
      </c>
      <c r="T170">
        <v>32560</v>
      </c>
      <c r="U170">
        <v>53.9</v>
      </c>
      <c r="V170">
        <v>4.0999999999999996</v>
      </c>
      <c r="W170">
        <v>20.359677420000001</v>
      </c>
      <c r="X170">
        <v>53.9</v>
      </c>
      <c r="Y170">
        <v>4.2</v>
      </c>
      <c r="Z170">
        <v>21.852857140000001</v>
      </c>
      <c r="AA170">
        <v>53.9</v>
      </c>
      <c r="AB170">
        <v>4.0999999999999996</v>
      </c>
      <c r="AC170">
        <v>19.024230769999999</v>
      </c>
      <c r="AD170">
        <v>50.9</v>
      </c>
      <c r="AE170">
        <f>Table1[[#This Row],[total_price]]/Table1[[#This Row],[qty]]</f>
        <v>53.9</v>
      </c>
      <c r="AF170">
        <f t="shared" si="2"/>
        <v>50.788888888888891</v>
      </c>
      <c r="AG170">
        <f>IF(ROW()=2, "", AVERAGE(D$2:D169))</f>
        <v>13.994047619047619</v>
      </c>
    </row>
    <row r="171" spans="1:33" x14ac:dyDescent="0.25">
      <c r="A171" t="s">
        <v>49</v>
      </c>
      <c r="B171" t="s">
        <v>33</v>
      </c>
      <c r="C171" s="1">
        <v>43104</v>
      </c>
      <c r="D171">
        <v>13</v>
      </c>
      <c r="E171">
        <v>700.7</v>
      </c>
      <c r="F171">
        <v>19.46846154</v>
      </c>
      <c r="G171">
        <v>53.9</v>
      </c>
      <c r="H171">
        <v>59</v>
      </c>
      <c r="I171">
        <v>341</v>
      </c>
      <c r="J171">
        <v>2</v>
      </c>
      <c r="K171">
        <v>1750</v>
      </c>
      <c r="L171">
        <v>4.2</v>
      </c>
      <c r="M171">
        <v>111</v>
      </c>
      <c r="N171">
        <v>21</v>
      </c>
      <c r="O171">
        <v>9</v>
      </c>
      <c r="P171">
        <v>1</v>
      </c>
      <c r="Q171">
        <v>4</v>
      </c>
      <c r="R171">
        <v>2018</v>
      </c>
      <c r="S171">
        <v>7.5581395349999996</v>
      </c>
      <c r="T171">
        <v>32560</v>
      </c>
      <c r="U171">
        <v>53.9</v>
      </c>
      <c r="V171">
        <v>4.0999999999999996</v>
      </c>
      <c r="W171">
        <v>5.2817391300000001</v>
      </c>
      <c r="X171">
        <v>53.9</v>
      </c>
      <c r="Y171">
        <v>4.2</v>
      </c>
      <c r="Z171">
        <v>19.46846154</v>
      </c>
      <c r="AA171">
        <v>53.9</v>
      </c>
      <c r="AB171">
        <v>4.0999999999999996</v>
      </c>
      <c r="AC171">
        <v>19.071428569999998</v>
      </c>
      <c r="AD171">
        <v>53.9</v>
      </c>
      <c r="AE171">
        <f>Table1[[#This Row],[total_price]]/Table1[[#This Row],[qty]]</f>
        <v>53.900000000000006</v>
      </c>
      <c r="AF171">
        <f t="shared" si="2"/>
        <v>53.9</v>
      </c>
      <c r="AG171">
        <f>IF(ROW()=2, "", AVERAGE(D$2:D170))</f>
        <v>14.118343195266272</v>
      </c>
    </row>
    <row r="172" spans="1:33" x14ac:dyDescent="0.25">
      <c r="A172" t="s">
        <v>49</v>
      </c>
      <c r="B172" t="s">
        <v>33</v>
      </c>
      <c r="C172" s="1">
        <v>43105</v>
      </c>
      <c r="D172">
        <v>29</v>
      </c>
      <c r="E172">
        <v>1559.1</v>
      </c>
      <c r="F172">
        <v>13.510344829999999</v>
      </c>
      <c r="G172">
        <v>53.70952381</v>
      </c>
      <c r="H172">
        <v>59</v>
      </c>
      <c r="I172">
        <v>341</v>
      </c>
      <c r="J172">
        <v>2</v>
      </c>
      <c r="K172">
        <v>1750</v>
      </c>
      <c r="L172">
        <v>4.2</v>
      </c>
      <c r="M172">
        <v>102</v>
      </c>
      <c r="N172">
        <v>23</v>
      </c>
      <c r="O172">
        <v>8</v>
      </c>
      <c r="P172">
        <v>3</v>
      </c>
      <c r="Q172">
        <v>5</v>
      </c>
      <c r="R172">
        <v>2018</v>
      </c>
      <c r="S172">
        <v>9.1151640650000001</v>
      </c>
      <c r="T172">
        <v>32560</v>
      </c>
      <c r="U172">
        <v>53.415151520000002</v>
      </c>
      <c r="V172">
        <v>4.0999999999999996</v>
      </c>
      <c r="W172">
        <v>10.753035710000001</v>
      </c>
      <c r="X172">
        <v>53.70952381</v>
      </c>
      <c r="Y172">
        <v>4.2</v>
      </c>
      <c r="Z172">
        <v>13.510344829999999</v>
      </c>
      <c r="AA172">
        <v>53.057894740000002</v>
      </c>
      <c r="AB172">
        <v>4.0999999999999996</v>
      </c>
      <c r="AC172">
        <v>12.98</v>
      </c>
      <c r="AD172">
        <v>53.9</v>
      </c>
      <c r="AE172">
        <f>Table1[[#This Row],[total_price]]/Table1[[#This Row],[qty]]</f>
        <v>53.762068965517237</v>
      </c>
      <c r="AF172">
        <f t="shared" si="2"/>
        <v>53.900000000000006</v>
      </c>
      <c r="AG172">
        <f>IF(ROW()=2, "", AVERAGE(D$2:D171))</f>
        <v>14.111764705882353</v>
      </c>
    </row>
    <row r="173" spans="1:33" x14ac:dyDescent="0.25">
      <c r="A173" t="s">
        <v>49</v>
      </c>
      <c r="B173" t="s">
        <v>33</v>
      </c>
      <c r="C173" s="1">
        <v>43106</v>
      </c>
      <c r="D173">
        <v>6</v>
      </c>
      <c r="E173">
        <v>299.39999999999998</v>
      </c>
      <c r="F173">
        <v>23.251666669999999</v>
      </c>
      <c r="G173">
        <v>49.9</v>
      </c>
      <c r="H173">
        <v>59</v>
      </c>
      <c r="I173">
        <v>341</v>
      </c>
      <c r="J173">
        <v>2</v>
      </c>
      <c r="K173">
        <v>1750</v>
      </c>
      <c r="L173">
        <v>4.2</v>
      </c>
      <c r="M173">
        <v>58</v>
      </c>
      <c r="N173">
        <v>21</v>
      </c>
      <c r="O173">
        <v>9</v>
      </c>
      <c r="P173">
        <v>0</v>
      </c>
      <c r="Q173">
        <v>6</v>
      </c>
      <c r="R173">
        <v>2018</v>
      </c>
      <c r="S173">
        <v>2.4291175530000002</v>
      </c>
      <c r="T173">
        <v>32560</v>
      </c>
      <c r="U173">
        <v>49.9</v>
      </c>
      <c r="V173">
        <v>4.0999999999999996</v>
      </c>
      <c r="W173">
        <v>19.89083333</v>
      </c>
      <c r="X173">
        <v>49.9</v>
      </c>
      <c r="Y173">
        <v>4.2</v>
      </c>
      <c r="Z173">
        <v>23.251666669999999</v>
      </c>
      <c r="AA173">
        <v>49.9</v>
      </c>
      <c r="AB173">
        <v>4.0999999999999996</v>
      </c>
      <c r="AC173">
        <v>22.878666670000001</v>
      </c>
      <c r="AD173">
        <v>53.70952381</v>
      </c>
      <c r="AE173">
        <f>Table1[[#This Row],[total_price]]/Table1[[#This Row],[qty]]</f>
        <v>49.9</v>
      </c>
      <c r="AF173">
        <f t="shared" si="2"/>
        <v>53.762068965517237</v>
      </c>
      <c r="AG173">
        <f>IF(ROW()=2, "", AVERAGE(D$2:D172))</f>
        <v>14.198830409356725</v>
      </c>
    </row>
    <row r="174" spans="1:33" x14ac:dyDescent="0.25">
      <c r="A174" t="s">
        <v>49</v>
      </c>
      <c r="B174" t="s">
        <v>33</v>
      </c>
      <c r="C174" s="1">
        <v>43107</v>
      </c>
      <c r="D174">
        <v>14</v>
      </c>
      <c r="E174">
        <v>698.6</v>
      </c>
      <c r="F174">
        <v>33.281428570000003</v>
      </c>
      <c r="G174">
        <v>49.9</v>
      </c>
      <c r="H174">
        <v>59</v>
      </c>
      <c r="I174">
        <v>341</v>
      </c>
      <c r="J174">
        <v>2</v>
      </c>
      <c r="K174">
        <v>1750</v>
      </c>
      <c r="L174">
        <v>4.2</v>
      </c>
      <c r="M174">
        <v>54</v>
      </c>
      <c r="N174">
        <v>22</v>
      </c>
      <c r="O174">
        <v>9</v>
      </c>
      <c r="P174">
        <v>1</v>
      </c>
      <c r="Q174">
        <v>7</v>
      </c>
      <c r="R174">
        <v>2018</v>
      </c>
      <c r="S174">
        <v>8.4076669850000005</v>
      </c>
      <c r="T174">
        <v>32560</v>
      </c>
      <c r="U174">
        <v>49.91</v>
      </c>
      <c r="V174">
        <v>4.0999999999999996</v>
      </c>
      <c r="W174">
        <v>28.373333330000001</v>
      </c>
      <c r="X174">
        <v>49.9</v>
      </c>
      <c r="Y174">
        <v>4.2</v>
      </c>
      <c r="Z174">
        <v>33.281428570000003</v>
      </c>
      <c r="AA174">
        <v>49.9</v>
      </c>
      <c r="AB174">
        <v>4.0999999999999996</v>
      </c>
      <c r="AC174">
        <v>20.99</v>
      </c>
      <c r="AD174">
        <v>49.9</v>
      </c>
      <c r="AE174">
        <f>Table1[[#This Row],[total_price]]/Table1[[#This Row],[qty]]</f>
        <v>49.9</v>
      </c>
      <c r="AF174">
        <f t="shared" si="2"/>
        <v>49.9</v>
      </c>
      <c r="AG174">
        <f>IF(ROW()=2, "", AVERAGE(D$2:D173))</f>
        <v>14.151162790697674</v>
      </c>
    </row>
    <row r="175" spans="1:33" x14ac:dyDescent="0.25">
      <c r="A175" t="s">
        <v>49</v>
      </c>
      <c r="B175" t="s">
        <v>33</v>
      </c>
      <c r="C175" s="1">
        <v>43108</v>
      </c>
      <c r="D175">
        <v>10</v>
      </c>
      <c r="E175">
        <v>499</v>
      </c>
      <c r="F175">
        <v>36.442</v>
      </c>
      <c r="G175">
        <v>49.9</v>
      </c>
      <c r="H175">
        <v>59</v>
      </c>
      <c r="I175">
        <v>341</v>
      </c>
      <c r="J175">
        <v>2</v>
      </c>
      <c r="K175">
        <v>1750</v>
      </c>
      <c r="L175">
        <v>4.2</v>
      </c>
      <c r="M175">
        <v>46</v>
      </c>
      <c r="N175">
        <v>23</v>
      </c>
      <c r="O175">
        <v>8</v>
      </c>
      <c r="P175">
        <v>1</v>
      </c>
      <c r="Q175">
        <v>8</v>
      </c>
      <c r="R175">
        <v>2018</v>
      </c>
      <c r="S175">
        <v>9.0713603060000008</v>
      </c>
      <c r="T175">
        <v>32560</v>
      </c>
      <c r="U175">
        <v>49.91</v>
      </c>
      <c r="V175">
        <v>4.0999999999999996</v>
      </c>
      <c r="W175">
        <v>20.32833333</v>
      </c>
      <c r="X175">
        <v>49.9</v>
      </c>
      <c r="Y175">
        <v>4.2</v>
      </c>
      <c r="Z175">
        <v>36.442</v>
      </c>
      <c r="AA175">
        <v>49.9</v>
      </c>
      <c r="AB175">
        <v>4.0999999999999996</v>
      </c>
      <c r="AC175">
        <v>32.32</v>
      </c>
      <c r="AD175">
        <v>49.9</v>
      </c>
      <c r="AE175">
        <f>Table1[[#This Row],[total_price]]/Table1[[#This Row],[qty]]</f>
        <v>49.9</v>
      </c>
      <c r="AF175">
        <f t="shared" si="2"/>
        <v>49.9</v>
      </c>
      <c r="AG175">
        <f>IF(ROW()=2, "", AVERAGE(D$2:D174))</f>
        <v>14.15028901734104</v>
      </c>
    </row>
    <row r="176" spans="1:33" x14ac:dyDescent="0.25">
      <c r="A176" t="s">
        <v>50</v>
      </c>
      <c r="B176" t="s">
        <v>48</v>
      </c>
      <c r="C176" s="1">
        <v>43101</v>
      </c>
      <c r="D176">
        <v>22</v>
      </c>
      <c r="E176">
        <v>3307.8</v>
      </c>
      <c r="F176">
        <v>22.547727269999999</v>
      </c>
      <c r="G176">
        <v>150.3545455</v>
      </c>
      <c r="H176">
        <v>48</v>
      </c>
      <c r="I176">
        <v>894</v>
      </c>
      <c r="J176">
        <v>1</v>
      </c>
      <c r="K176">
        <v>533</v>
      </c>
      <c r="L176">
        <v>4.3</v>
      </c>
      <c r="M176">
        <v>152</v>
      </c>
      <c r="N176">
        <v>23</v>
      </c>
      <c r="O176">
        <v>8</v>
      </c>
      <c r="P176">
        <v>2</v>
      </c>
      <c r="Q176">
        <v>1</v>
      </c>
      <c r="R176">
        <v>2018</v>
      </c>
      <c r="S176">
        <v>8.0291970799999994</v>
      </c>
      <c r="T176">
        <v>4840</v>
      </c>
      <c r="U176">
        <v>156.5113514</v>
      </c>
      <c r="V176">
        <v>4.2</v>
      </c>
      <c r="W176">
        <v>36.807209299999997</v>
      </c>
      <c r="X176">
        <v>150.3545455</v>
      </c>
      <c r="Y176">
        <v>4.3</v>
      </c>
      <c r="Z176">
        <v>22.547727269999999</v>
      </c>
      <c r="AA176">
        <v>97.642499999999998</v>
      </c>
      <c r="AB176">
        <v>3.5</v>
      </c>
      <c r="AC176">
        <v>14.846551720000001</v>
      </c>
      <c r="AD176">
        <v>150.30454549999999</v>
      </c>
      <c r="AE176">
        <f>Table1[[#This Row],[total_price]]/Table1[[#This Row],[qty]]</f>
        <v>150.35454545454547</v>
      </c>
      <c r="AF176" t="str">
        <f t="shared" si="2"/>
        <v/>
      </c>
      <c r="AG176">
        <f>IF(ROW()=2, "", AVERAGE(D$2:D175))</f>
        <v>14.126436781609195</v>
      </c>
    </row>
    <row r="177" spans="1:33" x14ac:dyDescent="0.25">
      <c r="A177" t="s">
        <v>50</v>
      </c>
      <c r="B177" t="s">
        <v>48</v>
      </c>
      <c r="C177" s="1">
        <v>43102</v>
      </c>
      <c r="D177">
        <v>69</v>
      </c>
      <c r="E177">
        <v>10343.1</v>
      </c>
      <c r="F177">
        <v>26.552898549999998</v>
      </c>
      <c r="G177">
        <v>149.9</v>
      </c>
      <c r="H177">
        <v>48</v>
      </c>
      <c r="I177">
        <v>894</v>
      </c>
      <c r="J177">
        <v>1</v>
      </c>
      <c r="K177">
        <v>533</v>
      </c>
      <c r="L177">
        <v>4.3</v>
      </c>
      <c r="M177">
        <v>202</v>
      </c>
      <c r="N177">
        <v>20</v>
      </c>
      <c r="O177">
        <v>8</v>
      </c>
      <c r="P177">
        <v>2</v>
      </c>
      <c r="Q177">
        <v>2</v>
      </c>
      <c r="R177">
        <v>2018</v>
      </c>
      <c r="S177">
        <v>25.182481750000001</v>
      </c>
      <c r="T177">
        <v>4840</v>
      </c>
      <c r="U177">
        <v>149</v>
      </c>
      <c r="V177">
        <v>4.2</v>
      </c>
      <c r="W177">
        <v>41.16322581</v>
      </c>
      <c r="X177">
        <v>149.9</v>
      </c>
      <c r="Y177">
        <v>4.3</v>
      </c>
      <c r="Z177">
        <v>26.552898549999998</v>
      </c>
      <c r="AA177">
        <v>78.712280699999994</v>
      </c>
      <c r="AB177">
        <v>3.5</v>
      </c>
      <c r="AC177">
        <v>14.535915490000001</v>
      </c>
      <c r="AD177">
        <v>150.3545455</v>
      </c>
      <c r="AE177">
        <f>Table1[[#This Row],[total_price]]/Table1[[#This Row],[qty]]</f>
        <v>149.9</v>
      </c>
      <c r="AF177">
        <f t="shared" si="2"/>
        <v>150.35454545454547</v>
      </c>
      <c r="AG177">
        <f>IF(ROW()=2, "", AVERAGE(D$2:D176))</f>
        <v>14.171428571428571</v>
      </c>
    </row>
    <row r="178" spans="1:33" x14ac:dyDescent="0.25">
      <c r="A178" t="s">
        <v>50</v>
      </c>
      <c r="B178" t="s">
        <v>48</v>
      </c>
      <c r="C178" s="1">
        <v>43103</v>
      </c>
      <c r="D178">
        <v>51</v>
      </c>
      <c r="E178">
        <v>7644.9</v>
      </c>
      <c r="F178">
        <v>28.475882349999999</v>
      </c>
      <c r="G178">
        <v>149.9</v>
      </c>
      <c r="H178">
        <v>48</v>
      </c>
      <c r="I178">
        <v>894</v>
      </c>
      <c r="J178">
        <v>1</v>
      </c>
      <c r="K178">
        <v>533</v>
      </c>
      <c r="L178">
        <v>4.3</v>
      </c>
      <c r="M178">
        <v>127</v>
      </c>
      <c r="N178">
        <v>22</v>
      </c>
      <c r="O178">
        <v>9</v>
      </c>
      <c r="P178">
        <v>1</v>
      </c>
      <c r="Q178">
        <v>3</v>
      </c>
      <c r="R178">
        <v>2018</v>
      </c>
      <c r="S178">
        <v>18.61313869</v>
      </c>
      <c r="T178">
        <v>4840</v>
      </c>
      <c r="U178">
        <v>136.14285709999999</v>
      </c>
      <c r="V178">
        <v>4.2</v>
      </c>
      <c r="W178">
        <v>48.047499999999999</v>
      </c>
      <c r="X178">
        <v>149.9</v>
      </c>
      <c r="Y178">
        <v>4.3</v>
      </c>
      <c r="Z178">
        <v>28.475882349999999</v>
      </c>
      <c r="AA178">
        <v>81.023913039999996</v>
      </c>
      <c r="AB178">
        <v>3.5</v>
      </c>
      <c r="AC178">
        <v>18.221481480000001</v>
      </c>
      <c r="AD178">
        <v>149.9</v>
      </c>
      <c r="AE178">
        <f>Table1[[#This Row],[total_price]]/Table1[[#This Row],[qty]]</f>
        <v>149.9</v>
      </c>
      <c r="AF178">
        <f t="shared" si="2"/>
        <v>149.9</v>
      </c>
      <c r="AG178">
        <f>IF(ROW()=2, "", AVERAGE(D$2:D177))</f>
        <v>14.482954545454545</v>
      </c>
    </row>
    <row r="179" spans="1:33" x14ac:dyDescent="0.25">
      <c r="A179" t="s">
        <v>50</v>
      </c>
      <c r="B179" t="s">
        <v>48</v>
      </c>
      <c r="C179" s="1">
        <v>43104</v>
      </c>
      <c r="D179">
        <v>35</v>
      </c>
      <c r="E179">
        <v>5246.5</v>
      </c>
      <c r="F179">
        <v>30.227428570000001</v>
      </c>
      <c r="G179">
        <v>149.9</v>
      </c>
      <c r="H179">
        <v>48</v>
      </c>
      <c r="I179">
        <v>894</v>
      </c>
      <c r="J179">
        <v>1</v>
      </c>
      <c r="K179">
        <v>533</v>
      </c>
      <c r="L179">
        <v>4.3</v>
      </c>
      <c r="M179">
        <v>107</v>
      </c>
      <c r="N179">
        <v>21</v>
      </c>
      <c r="O179">
        <v>9</v>
      </c>
      <c r="P179">
        <v>1</v>
      </c>
      <c r="Q179">
        <v>4</v>
      </c>
      <c r="R179">
        <v>2018</v>
      </c>
      <c r="S179">
        <v>12.77372263</v>
      </c>
      <c r="T179">
        <v>4840</v>
      </c>
      <c r="U179">
        <v>120.9230769</v>
      </c>
      <c r="V179">
        <v>4.2</v>
      </c>
      <c r="W179">
        <v>27.253035709999999</v>
      </c>
      <c r="X179">
        <v>149.9</v>
      </c>
      <c r="Y179">
        <v>4.3</v>
      </c>
      <c r="Z179">
        <v>30.227428570000001</v>
      </c>
      <c r="AA179">
        <v>80.666666669999998</v>
      </c>
      <c r="AB179">
        <v>3.5</v>
      </c>
      <c r="AC179">
        <v>18.17230769</v>
      </c>
      <c r="AD179">
        <v>149.9</v>
      </c>
      <c r="AE179">
        <f>Table1[[#This Row],[total_price]]/Table1[[#This Row],[qty]]</f>
        <v>149.9</v>
      </c>
      <c r="AF179">
        <f t="shared" si="2"/>
        <v>149.9</v>
      </c>
      <c r="AG179">
        <f>IF(ROW()=2, "", AVERAGE(D$2:D178))</f>
        <v>14.689265536723164</v>
      </c>
    </row>
    <row r="180" spans="1:33" x14ac:dyDescent="0.25">
      <c r="A180" t="s">
        <v>50</v>
      </c>
      <c r="B180" t="s">
        <v>48</v>
      </c>
      <c r="C180" s="1">
        <v>43105</v>
      </c>
      <c r="D180">
        <v>52</v>
      </c>
      <c r="E180">
        <v>7794.8</v>
      </c>
      <c r="F180">
        <v>18.943076919999999</v>
      </c>
      <c r="G180">
        <v>149.9</v>
      </c>
      <c r="H180">
        <v>48</v>
      </c>
      <c r="I180">
        <v>894</v>
      </c>
      <c r="J180">
        <v>1</v>
      </c>
      <c r="K180">
        <v>533</v>
      </c>
      <c r="L180">
        <v>4.3</v>
      </c>
      <c r="M180">
        <v>78</v>
      </c>
      <c r="N180">
        <v>23</v>
      </c>
      <c r="O180">
        <v>8</v>
      </c>
      <c r="P180">
        <v>3</v>
      </c>
      <c r="Q180">
        <v>5</v>
      </c>
      <c r="R180">
        <v>2018</v>
      </c>
      <c r="S180">
        <v>18.978102190000001</v>
      </c>
      <c r="T180">
        <v>4840</v>
      </c>
      <c r="U180">
        <v>119</v>
      </c>
      <c r="V180">
        <v>4.2</v>
      </c>
      <c r="W180">
        <v>39.217199999999998</v>
      </c>
      <c r="X180">
        <v>149.9</v>
      </c>
      <c r="Y180">
        <v>4.3</v>
      </c>
      <c r="Z180">
        <v>18.943076919999999</v>
      </c>
      <c r="AA180">
        <v>79.8</v>
      </c>
      <c r="AB180">
        <v>3.5</v>
      </c>
      <c r="AC180">
        <v>14.41454545</v>
      </c>
      <c r="AD180">
        <v>149.9</v>
      </c>
      <c r="AE180">
        <f>Table1[[#This Row],[total_price]]/Table1[[#This Row],[qty]]</f>
        <v>149.9</v>
      </c>
      <c r="AF180">
        <f t="shared" si="2"/>
        <v>149.9</v>
      </c>
      <c r="AG180">
        <f>IF(ROW()=2, "", AVERAGE(D$2:D179))</f>
        <v>14.803370786516854</v>
      </c>
    </row>
    <row r="181" spans="1:33" x14ac:dyDescent="0.25">
      <c r="A181" t="s">
        <v>50</v>
      </c>
      <c r="B181" t="s">
        <v>48</v>
      </c>
      <c r="C181" s="1">
        <v>43106</v>
      </c>
      <c r="D181">
        <v>27</v>
      </c>
      <c r="E181">
        <v>4047.3</v>
      </c>
      <c r="F181">
        <v>27.626666669999999</v>
      </c>
      <c r="G181">
        <v>149.9</v>
      </c>
      <c r="H181">
        <v>48</v>
      </c>
      <c r="I181">
        <v>894</v>
      </c>
      <c r="J181">
        <v>1</v>
      </c>
      <c r="K181">
        <v>533</v>
      </c>
      <c r="L181">
        <v>4.3</v>
      </c>
      <c r="M181">
        <v>66</v>
      </c>
      <c r="N181">
        <v>21</v>
      </c>
      <c r="O181">
        <v>9</v>
      </c>
      <c r="P181">
        <v>0</v>
      </c>
      <c r="Q181">
        <v>6</v>
      </c>
      <c r="R181">
        <v>2018</v>
      </c>
      <c r="S181">
        <v>9.8540145989999992</v>
      </c>
      <c r="T181">
        <v>4840</v>
      </c>
      <c r="U181">
        <v>114.49115380000001</v>
      </c>
      <c r="V181">
        <v>4.2</v>
      </c>
      <c r="W181">
        <v>53.625555560000002</v>
      </c>
      <c r="X181">
        <v>149.9</v>
      </c>
      <c r="Y181">
        <v>4.3</v>
      </c>
      <c r="Z181">
        <v>27.626666669999999</v>
      </c>
      <c r="AA181">
        <v>78.900000000000006</v>
      </c>
      <c r="AB181">
        <v>3.5</v>
      </c>
      <c r="AC181">
        <v>17.327999999999999</v>
      </c>
      <c r="AD181">
        <v>149.9</v>
      </c>
      <c r="AE181">
        <f>Table1[[#This Row],[total_price]]/Table1[[#This Row],[qty]]</f>
        <v>149.9</v>
      </c>
      <c r="AF181">
        <f t="shared" si="2"/>
        <v>149.9</v>
      </c>
      <c r="AG181">
        <f>IF(ROW()=2, "", AVERAGE(D$2:D180))</f>
        <v>15.011173184357542</v>
      </c>
    </row>
    <row r="182" spans="1:33" x14ac:dyDescent="0.25">
      <c r="A182" t="s">
        <v>50</v>
      </c>
      <c r="B182" t="s">
        <v>48</v>
      </c>
      <c r="C182" s="1">
        <v>43107</v>
      </c>
      <c r="D182">
        <v>13</v>
      </c>
      <c r="E182">
        <v>1948.7</v>
      </c>
      <c r="F182">
        <v>33.571538459999999</v>
      </c>
      <c r="G182">
        <v>149.9</v>
      </c>
      <c r="H182">
        <v>48</v>
      </c>
      <c r="I182">
        <v>894</v>
      </c>
      <c r="J182">
        <v>1</v>
      </c>
      <c r="K182">
        <v>533</v>
      </c>
      <c r="L182">
        <v>4.3</v>
      </c>
      <c r="M182">
        <v>43</v>
      </c>
      <c r="N182">
        <v>22</v>
      </c>
      <c r="O182">
        <v>9</v>
      </c>
      <c r="P182">
        <v>1</v>
      </c>
      <c r="Q182">
        <v>7</v>
      </c>
      <c r="R182">
        <v>2018</v>
      </c>
      <c r="S182">
        <v>4.7445255470000003</v>
      </c>
      <c r="T182">
        <v>4840</v>
      </c>
      <c r="U182">
        <v>119.99</v>
      </c>
      <c r="V182">
        <v>4.2</v>
      </c>
      <c r="W182">
        <v>48.626666669999999</v>
      </c>
      <c r="X182">
        <v>149.9</v>
      </c>
      <c r="Y182">
        <v>4.3</v>
      </c>
      <c r="Z182">
        <v>33.571538459999999</v>
      </c>
      <c r="AA182">
        <v>77.900000000000006</v>
      </c>
      <c r="AB182">
        <v>3.5</v>
      </c>
      <c r="AC182">
        <v>14.638571430000001</v>
      </c>
      <c r="AD182">
        <v>149.9</v>
      </c>
      <c r="AE182">
        <f>Table1[[#This Row],[total_price]]/Table1[[#This Row],[qty]]</f>
        <v>149.9</v>
      </c>
      <c r="AF182">
        <f t="shared" si="2"/>
        <v>149.9</v>
      </c>
      <c r="AG182">
        <f>IF(ROW()=2, "", AVERAGE(D$2:D181))</f>
        <v>15.077777777777778</v>
      </c>
    </row>
    <row r="183" spans="1:33" x14ac:dyDescent="0.25">
      <c r="A183" t="s">
        <v>50</v>
      </c>
      <c r="B183" t="s">
        <v>48</v>
      </c>
      <c r="C183" s="1">
        <v>43108</v>
      </c>
      <c r="D183">
        <v>5</v>
      </c>
      <c r="E183">
        <v>749.5</v>
      </c>
      <c r="F183">
        <v>24.76</v>
      </c>
      <c r="G183">
        <v>149.9</v>
      </c>
      <c r="H183">
        <v>48</v>
      </c>
      <c r="I183">
        <v>894</v>
      </c>
      <c r="J183">
        <v>1</v>
      </c>
      <c r="K183">
        <v>533</v>
      </c>
      <c r="L183">
        <v>4.3</v>
      </c>
      <c r="M183">
        <v>18</v>
      </c>
      <c r="N183">
        <v>23</v>
      </c>
      <c r="O183">
        <v>8</v>
      </c>
      <c r="P183">
        <v>1</v>
      </c>
      <c r="Q183">
        <v>8</v>
      </c>
      <c r="R183">
        <v>2018</v>
      </c>
      <c r="S183">
        <v>1.8248175179999999</v>
      </c>
      <c r="T183">
        <v>4840</v>
      </c>
      <c r="U183">
        <v>119.99</v>
      </c>
      <c r="V183">
        <v>4.2</v>
      </c>
      <c r="W183">
        <v>39.045999999999999</v>
      </c>
      <c r="X183">
        <v>149.9</v>
      </c>
      <c r="Y183">
        <v>4.3</v>
      </c>
      <c r="Z183">
        <v>24.76</v>
      </c>
      <c r="AA183">
        <v>77.900000000000006</v>
      </c>
      <c r="AB183">
        <v>3.5</v>
      </c>
      <c r="AC183">
        <v>13.414999999999999</v>
      </c>
      <c r="AD183">
        <v>149.9</v>
      </c>
      <c r="AE183">
        <f>Table1[[#This Row],[total_price]]/Table1[[#This Row],[qty]]</f>
        <v>149.9</v>
      </c>
      <c r="AF183">
        <f t="shared" si="2"/>
        <v>149.9</v>
      </c>
      <c r="AG183">
        <f>IF(ROW()=2, "", AVERAGE(D$2:D182))</f>
        <v>15.066298342541437</v>
      </c>
    </row>
    <row r="184" spans="1:33" x14ac:dyDescent="0.25">
      <c r="A184" t="s">
        <v>51</v>
      </c>
      <c r="B184" t="s">
        <v>38</v>
      </c>
      <c r="C184" s="1">
        <v>43101</v>
      </c>
      <c r="D184">
        <v>3</v>
      </c>
      <c r="E184">
        <v>185.97</v>
      </c>
      <c r="F184">
        <v>24.05</v>
      </c>
      <c r="G184">
        <v>61.99</v>
      </c>
      <c r="H184">
        <v>50</v>
      </c>
      <c r="I184">
        <v>1257</v>
      </c>
      <c r="J184">
        <v>1</v>
      </c>
      <c r="K184">
        <v>350</v>
      </c>
      <c r="L184">
        <v>3.9</v>
      </c>
      <c r="M184">
        <v>98</v>
      </c>
      <c r="N184">
        <v>23</v>
      </c>
      <c r="O184">
        <v>8</v>
      </c>
      <c r="P184">
        <v>2</v>
      </c>
      <c r="Q184">
        <v>1</v>
      </c>
      <c r="R184">
        <v>2018</v>
      </c>
      <c r="S184">
        <v>2</v>
      </c>
      <c r="T184">
        <v>2964</v>
      </c>
      <c r="U184">
        <v>23.99</v>
      </c>
      <c r="V184">
        <v>4.3</v>
      </c>
      <c r="W184">
        <v>11.28736842</v>
      </c>
      <c r="X184">
        <v>89.99</v>
      </c>
      <c r="Y184">
        <v>4.0999999999999996</v>
      </c>
      <c r="Z184">
        <v>14.811</v>
      </c>
      <c r="AA184">
        <v>58.99</v>
      </c>
      <c r="AB184">
        <v>3.9</v>
      </c>
      <c r="AC184">
        <v>22.678333330000001</v>
      </c>
      <c r="AD184">
        <v>61.94</v>
      </c>
      <c r="AE184">
        <f>Table1[[#This Row],[total_price]]/Table1[[#This Row],[qty]]</f>
        <v>61.99</v>
      </c>
      <c r="AF184" t="str">
        <f t="shared" si="2"/>
        <v/>
      </c>
      <c r="AG184">
        <f>IF(ROW()=2, "", AVERAGE(D$2:D183))</f>
        <v>15.010989010989011</v>
      </c>
    </row>
    <row r="185" spans="1:33" x14ac:dyDescent="0.25">
      <c r="A185" t="s">
        <v>51</v>
      </c>
      <c r="B185" t="s">
        <v>38</v>
      </c>
      <c r="C185" s="1">
        <v>43103</v>
      </c>
      <c r="D185">
        <v>13</v>
      </c>
      <c r="E185">
        <v>805.87</v>
      </c>
      <c r="F185">
        <v>28.61461538</v>
      </c>
      <c r="G185">
        <v>61.99</v>
      </c>
      <c r="H185">
        <v>50</v>
      </c>
      <c r="I185">
        <v>1257</v>
      </c>
      <c r="J185">
        <v>1</v>
      </c>
      <c r="K185">
        <v>350</v>
      </c>
      <c r="L185">
        <v>3.9</v>
      </c>
      <c r="M185">
        <v>169</v>
      </c>
      <c r="N185">
        <v>22</v>
      </c>
      <c r="O185">
        <v>9</v>
      </c>
      <c r="P185">
        <v>1</v>
      </c>
      <c r="Q185">
        <v>3</v>
      </c>
      <c r="R185">
        <v>2018</v>
      </c>
      <c r="S185">
        <v>8.6666666669999994</v>
      </c>
      <c r="T185">
        <v>2964</v>
      </c>
      <c r="U185">
        <v>23.99</v>
      </c>
      <c r="V185">
        <v>4.3</v>
      </c>
      <c r="W185">
        <v>14.19875</v>
      </c>
      <c r="X185">
        <v>83.74</v>
      </c>
      <c r="Y185">
        <v>4.0999999999999996</v>
      </c>
      <c r="Z185">
        <v>11.876875</v>
      </c>
      <c r="AA185">
        <v>58.99</v>
      </c>
      <c r="AB185">
        <v>3.9</v>
      </c>
      <c r="AC185">
        <v>15.228</v>
      </c>
      <c r="AD185">
        <v>61.94</v>
      </c>
      <c r="AE185">
        <f>Table1[[#This Row],[total_price]]/Table1[[#This Row],[qty]]</f>
        <v>61.99</v>
      </c>
      <c r="AF185">
        <f t="shared" si="2"/>
        <v>61.99</v>
      </c>
      <c r="AG185">
        <f>IF(ROW()=2, "", AVERAGE(D$2:D184))</f>
        <v>14.94535519125683</v>
      </c>
    </row>
    <row r="186" spans="1:33" x14ac:dyDescent="0.25">
      <c r="A186" t="s">
        <v>51</v>
      </c>
      <c r="B186" t="s">
        <v>38</v>
      </c>
      <c r="C186" s="1">
        <v>43104</v>
      </c>
      <c r="D186">
        <v>15</v>
      </c>
      <c r="E186">
        <v>974.85</v>
      </c>
      <c r="F186">
        <v>25.346</v>
      </c>
      <c r="G186">
        <v>64.989999999999995</v>
      </c>
      <c r="H186">
        <v>50</v>
      </c>
      <c r="I186">
        <v>1257</v>
      </c>
      <c r="J186">
        <v>1</v>
      </c>
      <c r="K186">
        <v>350</v>
      </c>
      <c r="L186">
        <v>3.9</v>
      </c>
      <c r="M186">
        <v>118</v>
      </c>
      <c r="N186">
        <v>21</v>
      </c>
      <c r="O186">
        <v>9</v>
      </c>
      <c r="P186">
        <v>1</v>
      </c>
      <c r="Q186">
        <v>4</v>
      </c>
      <c r="R186">
        <v>2018</v>
      </c>
      <c r="S186">
        <v>10</v>
      </c>
      <c r="T186">
        <v>2964</v>
      </c>
      <c r="U186">
        <v>64.989999999999995</v>
      </c>
      <c r="V186">
        <v>3.9</v>
      </c>
      <c r="W186">
        <v>25.346</v>
      </c>
      <c r="X186">
        <v>79.989999999999995</v>
      </c>
      <c r="Y186">
        <v>4.0999999999999996</v>
      </c>
      <c r="Z186">
        <v>14.484999999999999</v>
      </c>
      <c r="AA186">
        <v>58.99</v>
      </c>
      <c r="AB186">
        <v>3.9</v>
      </c>
      <c r="AC186">
        <v>16.302727269999998</v>
      </c>
      <c r="AD186">
        <v>61.99</v>
      </c>
      <c r="AE186">
        <f>Table1[[#This Row],[total_price]]/Table1[[#This Row],[qty]]</f>
        <v>64.989999999999995</v>
      </c>
      <c r="AF186">
        <f t="shared" si="2"/>
        <v>61.99</v>
      </c>
      <c r="AG186">
        <f>IF(ROW()=2, "", AVERAGE(D$2:D185))</f>
        <v>14.934782608695652</v>
      </c>
    </row>
    <row r="187" spans="1:33" x14ac:dyDescent="0.25">
      <c r="A187" t="s">
        <v>51</v>
      </c>
      <c r="B187" t="s">
        <v>38</v>
      </c>
      <c r="C187" s="1">
        <v>43105</v>
      </c>
      <c r="D187">
        <v>38</v>
      </c>
      <c r="E187">
        <v>2469.62</v>
      </c>
      <c r="F187">
        <v>24.77447368</v>
      </c>
      <c r="G187">
        <v>64.989999999999995</v>
      </c>
      <c r="H187">
        <v>50</v>
      </c>
      <c r="I187">
        <v>1257</v>
      </c>
      <c r="J187">
        <v>1</v>
      </c>
      <c r="K187">
        <v>350</v>
      </c>
      <c r="L187">
        <v>3.9</v>
      </c>
      <c r="M187">
        <v>159</v>
      </c>
      <c r="N187">
        <v>23</v>
      </c>
      <c r="O187">
        <v>8</v>
      </c>
      <c r="P187">
        <v>3</v>
      </c>
      <c r="Q187">
        <v>5</v>
      </c>
      <c r="R187">
        <v>2018</v>
      </c>
      <c r="S187">
        <v>25.333333329999999</v>
      </c>
      <c r="T187">
        <v>2964</v>
      </c>
      <c r="U187">
        <v>23.99</v>
      </c>
      <c r="V187">
        <v>4.3</v>
      </c>
      <c r="W187">
        <v>7.9885714290000003</v>
      </c>
      <c r="X187">
        <v>79.989999999999995</v>
      </c>
      <c r="Y187">
        <v>4.0999999999999996</v>
      </c>
      <c r="Z187">
        <v>21.943124999999998</v>
      </c>
      <c r="AA187">
        <v>58.99</v>
      </c>
      <c r="AB187">
        <v>3.9</v>
      </c>
      <c r="AC187">
        <v>9.4224999999999994</v>
      </c>
      <c r="AD187">
        <v>64.989999999999995</v>
      </c>
      <c r="AE187">
        <f>Table1[[#This Row],[total_price]]/Table1[[#This Row],[qty]]</f>
        <v>64.989999999999995</v>
      </c>
      <c r="AF187">
        <f t="shared" si="2"/>
        <v>64.989999999999995</v>
      </c>
      <c r="AG187">
        <f>IF(ROW()=2, "", AVERAGE(D$2:D186))</f>
        <v>14.935135135135136</v>
      </c>
    </row>
    <row r="188" spans="1:33" x14ac:dyDescent="0.25">
      <c r="A188" t="s">
        <v>51</v>
      </c>
      <c r="B188" t="s">
        <v>38</v>
      </c>
      <c r="C188" s="1">
        <v>43106</v>
      </c>
      <c r="D188">
        <v>26</v>
      </c>
      <c r="E188">
        <v>1741.74</v>
      </c>
      <c r="F188">
        <v>30.241538460000001</v>
      </c>
      <c r="G188">
        <v>66.989999999999995</v>
      </c>
      <c r="H188">
        <v>50</v>
      </c>
      <c r="I188">
        <v>1257</v>
      </c>
      <c r="J188">
        <v>1</v>
      </c>
      <c r="K188">
        <v>350</v>
      </c>
      <c r="L188">
        <v>3.9</v>
      </c>
      <c r="M188">
        <v>131</v>
      </c>
      <c r="N188">
        <v>21</v>
      </c>
      <c r="O188">
        <v>9</v>
      </c>
      <c r="P188">
        <v>0</v>
      </c>
      <c r="Q188">
        <v>6</v>
      </c>
      <c r="R188">
        <v>2018</v>
      </c>
      <c r="S188">
        <v>17.333333329999999</v>
      </c>
      <c r="T188">
        <v>2964</v>
      </c>
      <c r="U188">
        <v>23.99</v>
      </c>
      <c r="V188">
        <v>4.3</v>
      </c>
      <c r="W188">
        <v>16.27</v>
      </c>
      <c r="X188">
        <v>79.989999999999995</v>
      </c>
      <c r="Y188">
        <v>4.0999999999999996</v>
      </c>
      <c r="Z188">
        <v>13.36230769</v>
      </c>
      <c r="AA188">
        <v>58.99</v>
      </c>
      <c r="AB188">
        <v>3.9</v>
      </c>
      <c r="AC188">
        <v>16.43</v>
      </c>
      <c r="AD188">
        <v>64.989999999999995</v>
      </c>
      <c r="AE188">
        <f>Table1[[#This Row],[total_price]]/Table1[[#This Row],[qty]]</f>
        <v>66.989999999999995</v>
      </c>
      <c r="AF188">
        <f t="shared" si="2"/>
        <v>64.989999999999995</v>
      </c>
      <c r="AG188">
        <f>IF(ROW()=2, "", AVERAGE(D$2:D187))</f>
        <v>15.059139784946236</v>
      </c>
    </row>
    <row r="189" spans="1:33" x14ac:dyDescent="0.25">
      <c r="A189" t="s">
        <v>51</v>
      </c>
      <c r="B189" t="s">
        <v>38</v>
      </c>
      <c r="C189" s="1">
        <v>43107</v>
      </c>
      <c r="D189">
        <v>27</v>
      </c>
      <c r="E189">
        <v>1808.73</v>
      </c>
      <c r="F189">
        <v>25.90074074</v>
      </c>
      <c r="G189">
        <v>66.989999999999995</v>
      </c>
      <c r="H189">
        <v>50</v>
      </c>
      <c r="I189">
        <v>1257</v>
      </c>
      <c r="J189">
        <v>1</v>
      </c>
      <c r="K189">
        <v>350</v>
      </c>
      <c r="L189">
        <v>3.9</v>
      </c>
      <c r="M189">
        <v>113</v>
      </c>
      <c r="N189">
        <v>22</v>
      </c>
      <c r="O189">
        <v>9</v>
      </c>
      <c r="P189">
        <v>1</v>
      </c>
      <c r="Q189">
        <v>7</v>
      </c>
      <c r="R189">
        <v>2018</v>
      </c>
      <c r="S189">
        <v>18</v>
      </c>
      <c r="T189">
        <v>2964</v>
      </c>
      <c r="U189">
        <v>23.99</v>
      </c>
      <c r="V189">
        <v>4.3</v>
      </c>
      <c r="W189">
        <v>18.809999999999999</v>
      </c>
      <c r="X189">
        <v>79.989999999999995</v>
      </c>
      <c r="Y189">
        <v>4.0999999999999996</v>
      </c>
      <c r="Z189">
        <v>16.745000000000001</v>
      </c>
      <c r="AA189">
        <v>58.99</v>
      </c>
      <c r="AB189">
        <v>3.9</v>
      </c>
      <c r="AC189">
        <v>7.67</v>
      </c>
      <c r="AD189">
        <v>66.989999999999995</v>
      </c>
      <c r="AE189">
        <f>Table1[[#This Row],[total_price]]/Table1[[#This Row],[qty]]</f>
        <v>66.989999999999995</v>
      </c>
      <c r="AF189">
        <f t="shared" si="2"/>
        <v>66.989999999999995</v>
      </c>
      <c r="AG189">
        <f>IF(ROW()=2, "", AVERAGE(D$2:D188))</f>
        <v>15.117647058823529</v>
      </c>
    </row>
    <row r="190" spans="1:33" x14ac:dyDescent="0.25">
      <c r="A190" t="s">
        <v>51</v>
      </c>
      <c r="B190" t="s">
        <v>38</v>
      </c>
      <c r="C190" s="1">
        <v>43108</v>
      </c>
      <c r="D190">
        <v>28</v>
      </c>
      <c r="E190">
        <v>1875.72</v>
      </c>
      <c r="F190">
        <v>23.528214290000001</v>
      </c>
      <c r="G190">
        <v>66.989999999999995</v>
      </c>
      <c r="H190">
        <v>50</v>
      </c>
      <c r="I190">
        <v>1257</v>
      </c>
      <c r="J190">
        <v>1</v>
      </c>
      <c r="K190">
        <v>350</v>
      </c>
      <c r="L190">
        <v>3.9</v>
      </c>
      <c r="M190">
        <v>127</v>
      </c>
      <c r="N190">
        <v>23</v>
      </c>
      <c r="O190">
        <v>8</v>
      </c>
      <c r="P190">
        <v>1</v>
      </c>
      <c r="Q190">
        <v>8</v>
      </c>
      <c r="R190">
        <v>2018</v>
      </c>
      <c r="S190">
        <v>18.666666670000001</v>
      </c>
      <c r="T190">
        <v>2964</v>
      </c>
      <c r="U190">
        <v>23.99</v>
      </c>
      <c r="V190">
        <v>4.3</v>
      </c>
      <c r="W190">
        <v>16.77</v>
      </c>
      <c r="X190">
        <v>82.821428569999995</v>
      </c>
      <c r="Y190">
        <v>4.0999999999999996</v>
      </c>
      <c r="Z190">
        <v>12.41857143</v>
      </c>
      <c r="AA190">
        <v>58.99</v>
      </c>
      <c r="AB190">
        <v>3.9</v>
      </c>
      <c r="AC190">
        <v>12.08333333</v>
      </c>
      <c r="AD190">
        <v>66.989999999999995</v>
      </c>
      <c r="AE190">
        <f>Table1[[#This Row],[total_price]]/Table1[[#This Row],[qty]]</f>
        <v>66.989999999999995</v>
      </c>
      <c r="AF190">
        <f t="shared" si="2"/>
        <v>66.989999999999995</v>
      </c>
      <c r="AG190">
        <f>IF(ROW()=2, "", AVERAGE(D$2:D189))</f>
        <v>15.180851063829786</v>
      </c>
    </row>
    <row r="191" spans="1:33" x14ac:dyDescent="0.25">
      <c r="A191" t="s">
        <v>52</v>
      </c>
      <c r="B191" t="s">
        <v>33</v>
      </c>
      <c r="C191" s="1">
        <v>42740</v>
      </c>
      <c r="D191">
        <v>4</v>
      </c>
      <c r="E191">
        <v>239.6</v>
      </c>
      <c r="F191">
        <v>19.732500000000002</v>
      </c>
      <c r="G191">
        <v>59.9</v>
      </c>
      <c r="H191">
        <v>56</v>
      </c>
      <c r="I191">
        <v>348</v>
      </c>
      <c r="J191">
        <v>2</v>
      </c>
      <c r="K191">
        <v>1550</v>
      </c>
      <c r="L191">
        <v>4.0999999999999996</v>
      </c>
      <c r="M191">
        <v>34</v>
      </c>
      <c r="N191">
        <v>23</v>
      </c>
      <c r="O191">
        <v>8</v>
      </c>
      <c r="P191">
        <v>1</v>
      </c>
      <c r="Q191">
        <v>5</v>
      </c>
      <c r="R191">
        <v>2017</v>
      </c>
      <c r="S191">
        <v>14.186176140000001</v>
      </c>
      <c r="T191">
        <v>19800</v>
      </c>
      <c r="U191">
        <v>59.9</v>
      </c>
      <c r="V191">
        <v>4.0999999999999996</v>
      </c>
      <c r="W191">
        <v>19.732500000000002</v>
      </c>
      <c r="X191">
        <v>59.9</v>
      </c>
      <c r="Y191">
        <v>4.2</v>
      </c>
      <c r="Z191">
        <v>26.24666667</v>
      </c>
      <c r="AA191">
        <v>59.9</v>
      </c>
      <c r="AB191">
        <v>4.0999999999999996</v>
      </c>
      <c r="AC191">
        <v>19.732500000000002</v>
      </c>
      <c r="AD191">
        <v>59.85</v>
      </c>
      <c r="AE191">
        <f>Table1[[#This Row],[total_price]]/Table1[[#This Row],[qty]]</f>
        <v>59.9</v>
      </c>
      <c r="AF191" t="str">
        <f t="shared" si="2"/>
        <v/>
      </c>
      <c r="AG191">
        <f>IF(ROW()=2, "", AVERAGE(D$2:D190))</f>
        <v>15.248677248677248</v>
      </c>
    </row>
    <row r="192" spans="1:33" x14ac:dyDescent="0.25">
      <c r="A192" t="s">
        <v>52</v>
      </c>
      <c r="B192" t="s">
        <v>33</v>
      </c>
      <c r="C192" s="1">
        <v>42741</v>
      </c>
      <c r="D192">
        <v>1</v>
      </c>
      <c r="E192">
        <v>59.9</v>
      </c>
      <c r="F192">
        <v>17.670000000000002</v>
      </c>
      <c r="G192">
        <v>59.9</v>
      </c>
      <c r="H192">
        <v>56</v>
      </c>
      <c r="I192">
        <v>348</v>
      </c>
      <c r="J192">
        <v>2</v>
      </c>
      <c r="K192">
        <v>1550</v>
      </c>
      <c r="L192">
        <v>4.0999999999999996</v>
      </c>
      <c r="M192">
        <v>26</v>
      </c>
      <c r="N192">
        <v>22</v>
      </c>
      <c r="O192">
        <v>8</v>
      </c>
      <c r="P192">
        <v>1</v>
      </c>
      <c r="Q192">
        <v>6</v>
      </c>
      <c r="R192">
        <v>2017</v>
      </c>
      <c r="S192">
        <v>3.0657748050000002</v>
      </c>
      <c r="T192">
        <v>19800</v>
      </c>
      <c r="U192">
        <v>59.9</v>
      </c>
      <c r="V192">
        <v>4.0999999999999996</v>
      </c>
      <c r="W192">
        <v>17.670000000000002</v>
      </c>
      <c r="X192">
        <v>59.9</v>
      </c>
      <c r="Y192">
        <v>4.2</v>
      </c>
      <c r="Z192">
        <v>16.260000000000002</v>
      </c>
      <c r="AA192">
        <v>59.9</v>
      </c>
      <c r="AB192">
        <v>4.0999999999999996</v>
      </c>
      <c r="AC192">
        <v>17.670000000000002</v>
      </c>
      <c r="AD192">
        <v>59.9</v>
      </c>
      <c r="AE192">
        <f>Table1[[#This Row],[total_price]]/Table1[[#This Row],[qty]]</f>
        <v>59.9</v>
      </c>
      <c r="AF192">
        <f t="shared" si="2"/>
        <v>59.9</v>
      </c>
      <c r="AG192">
        <f>IF(ROW()=2, "", AVERAGE(D$2:D191))</f>
        <v>15.189473684210526</v>
      </c>
    </row>
    <row r="193" spans="1:33" x14ac:dyDescent="0.25">
      <c r="A193" t="s">
        <v>52</v>
      </c>
      <c r="B193" t="s">
        <v>33</v>
      </c>
      <c r="C193" s="1">
        <v>42742</v>
      </c>
      <c r="D193">
        <v>14</v>
      </c>
      <c r="E193">
        <v>838.6</v>
      </c>
      <c r="F193">
        <v>16.626428570000002</v>
      </c>
      <c r="G193">
        <v>59.9</v>
      </c>
      <c r="H193">
        <v>56</v>
      </c>
      <c r="I193">
        <v>348</v>
      </c>
      <c r="J193">
        <v>2</v>
      </c>
      <c r="K193">
        <v>1550</v>
      </c>
      <c r="L193">
        <v>4.0999999999999996</v>
      </c>
      <c r="M193">
        <v>74</v>
      </c>
      <c r="N193">
        <v>21</v>
      </c>
      <c r="O193">
        <v>10</v>
      </c>
      <c r="P193">
        <v>1</v>
      </c>
      <c r="Q193">
        <v>7</v>
      </c>
      <c r="R193">
        <v>2017</v>
      </c>
      <c r="S193">
        <v>3.9785395760000002</v>
      </c>
      <c r="T193">
        <v>19800</v>
      </c>
      <c r="U193">
        <v>59.9</v>
      </c>
      <c r="V193">
        <v>4.0999999999999996</v>
      </c>
      <c r="W193">
        <v>16.626428570000002</v>
      </c>
      <c r="X193">
        <v>59.9</v>
      </c>
      <c r="Y193">
        <v>4.2</v>
      </c>
      <c r="Z193">
        <v>16.111578949999998</v>
      </c>
      <c r="AA193">
        <v>59.9</v>
      </c>
      <c r="AB193">
        <v>4.0999999999999996</v>
      </c>
      <c r="AC193">
        <v>15.392307690000001</v>
      </c>
      <c r="AD193">
        <v>59.9</v>
      </c>
      <c r="AE193">
        <f>Table1[[#This Row],[total_price]]/Table1[[#This Row],[qty]]</f>
        <v>59.9</v>
      </c>
      <c r="AF193">
        <f t="shared" si="2"/>
        <v>59.9</v>
      </c>
      <c r="AG193">
        <f>IF(ROW()=2, "", AVERAGE(D$2:D192))</f>
        <v>15.115183246073299</v>
      </c>
    </row>
    <row r="194" spans="1:33" x14ac:dyDescent="0.25">
      <c r="A194" t="s">
        <v>52</v>
      </c>
      <c r="B194" t="s">
        <v>33</v>
      </c>
      <c r="C194" s="1">
        <v>42743</v>
      </c>
      <c r="D194">
        <v>39</v>
      </c>
      <c r="E194">
        <v>2336.1</v>
      </c>
      <c r="F194">
        <v>18.162307689999999</v>
      </c>
      <c r="G194">
        <v>59.9</v>
      </c>
      <c r="H194">
        <v>56</v>
      </c>
      <c r="I194">
        <v>348</v>
      </c>
      <c r="J194">
        <v>2</v>
      </c>
      <c r="K194">
        <v>1550</v>
      </c>
      <c r="L194">
        <v>4.0999999999999996</v>
      </c>
      <c r="M194">
        <v>113</v>
      </c>
      <c r="N194">
        <v>23</v>
      </c>
      <c r="O194">
        <v>8</v>
      </c>
      <c r="P194">
        <v>1</v>
      </c>
      <c r="Q194">
        <v>8</v>
      </c>
      <c r="R194">
        <v>2017</v>
      </c>
      <c r="S194">
        <v>8.5075250839999992</v>
      </c>
      <c r="T194">
        <v>19800</v>
      </c>
      <c r="U194">
        <v>59.9</v>
      </c>
      <c r="V194">
        <v>4.0999999999999996</v>
      </c>
      <c r="W194">
        <v>18.162307689999999</v>
      </c>
      <c r="X194">
        <v>59.9</v>
      </c>
      <c r="Y194">
        <v>4.2</v>
      </c>
      <c r="Z194">
        <v>17.68111111</v>
      </c>
      <c r="AA194">
        <v>59.9</v>
      </c>
      <c r="AB194">
        <v>4.0999999999999996</v>
      </c>
      <c r="AC194">
        <v>18.05043478</v>
      </c>
      <c r="AD194">
        <v>59.9</v>
      </c>
      <c r="AE194">
        <f>Table1[[#This Row],[total_price]]/Table1[[#This Row],[qty]]</f>
        <v>59.9</v>
      </c>
      <c r="AF194">
        <f t="shared" ref="AF194:AF257" si="3">IF(A194=A193,AE193,"")</f>
        <v>59.9</v>
      </c>
      <c r="AG194">
        <f>IF(ROW()=2, "", AVERAGE(D$2:D193))</f>
        <v>15.109375</v>
      </c>
    </row>
    <row r="195" spans="1:33" x14ac:dyDescent="0.25">
      <c r="A195" t="s">
        <v>52</v>
      </c>
      <c r="B195" t="s">
        <v>33</v>
      </c>
      <c r="C195" s="1">
        <v>42744</v>
      </c>
      <c r="D195">
        <v>37</v>
      </c>
      <c r="E195">
        <v>2216.3000000000002</v>
      </c>
      <c r="F195">
        <v>17.187027029999999</v>
      </c>
      <c r="G195">
        <v>59.9</v>
      </c>
      <c r="H195">
        <v>56</v>
      </c>
      <c r="I195">
        <v>348</v>
      </c>
      <c r="J195">
        <v>2</v>
      </c>
      <c r="K195">
        <v>1550</v>
      </c>
      <c r="L195">
        <v>4.0999999999999996</v>
      </c>
      <c r="M195">
        <v>115</v>
      </c>
      <c r="N195">
        <v>21</v>
      </c>
      <c r="O195">
        <v>9</v>
      </c>
      <c r="P195">
        <v>1</v>
      </c>
      <c r="Q195">
        <v>9</v>
      </c>
      <c r="R195">
        <v>2017</v>
      </c>
      <c r="S195">
        <v>13.405797099999999</v>
      </c>
      <c r="T195">
        <v>19800</v>
      </c>
      <c r="U195">
        <v>59.9</v>
      </c>
      <c r="V195">
        <v>4.0999999999999996</v>
      </c>
      <c r="W195">
        <v>17.187027029999999</v>
      </c>
      <c r="X195">
        <v>59.9</v>
      </c>
      <c r="Y195">
        <v>4.2</v>
      </c>
      <c r="Z195">
        <v>16.811764709999999</v>
      </c>
      <c r="AA195">
        <v>59.9</v>
      </c>
      <c r="AB195">
        <v>4.0999999999999996</v>
      </c>
      <c r="AC195">
        <v>16.29461538</v>
      </c>
      <c r="AD195">
        <v>59.9</v>
      </c>
      <c r="AE195">
        <f>Table1[[#This Row],[total_price]]/Table1[[#This Row],[qty]]</f>
        <v>59.900000000000006</v>
      </c>
      <c r="AF195">
        <f t="shared" si="3"/>
        <v>59.9</v>
      </c>
      <c r="AG195">
        <f>IF(ROW()=2, "", AVERAGE(D$2:D194))</f>
        <v>15.233160621761659</v>
      </c>
    </row>
    <row r="196" spans="1:33" x14ac:dyDescent="0.25">
      <c r="A196" t="s">
        <v>52</v>
      </c>
      <c r="B196" t="s">
        <v>33</v>
      </c>
      <c r="C196" s="1">
        <v>42745</v>
      </c>
      <c r="D196">
        <v>39</v>
      </c>
      <c r="E196">
        <v>2336.1</v>
      </c>
      <c r="F196">
        <v>18.065897440000001</v>
      </c>
      <c r="G196">
        <v>59.9</v>
      </c>
      <c r="H196">
        <v>56</v>
      </c>
      <c r="I196">
        <v>348</v>
      </c>
      <c r="J196">
        <v>2</v>
      </c>
      <c r="K196">
        <v>1550</v>
      </c>
      <c r="L196">
        <v>4.0999999999999996</v>
      </c>
      <c r="M196">
        <v>146</v>
      </c>
      <c r="N196">
        <v>22</v>
      </c>
      <c r="O196">
        <v>9</v>
      </c>
      <c r="P196">
        <v>2</v>
      </c>
      <c r="Q196">
        <v>10</v>
      </c>
      <c r="R196">
        <v>2017</v>
      </c>
      <c r="S196">
        <v>14.13043478</v>
      </c>
      <c r="T196">
        <v>19800</v>
      </c>
      <c r="U196">
        <v>59.9</v>
      </c>
      <c r="V196">
        <v>4.0999999999999996</v>
      </c>
      <c r="W196">
        <v>18.065897440000001</v>
      </c>
      <c r="X196">
        <v>59.9</v>
      </c>
      <c r="Y196">
        <v>4.2</v>
      </c>
      <c r="Z196">
        <v>17.595483869999999</v>
      </c>
      <c r="AA196">
        <v>59.9</v>
      </c>
      <c r="AB196">
        <v>4.0999999999999996</v>
      </c>
      <c r="AC196">
        <v>16.814166669999999</v>
      </c>
      <c r="AD196">
        <v>59.9</v>
      </c>
      <c r="AE196">
        <f>Table1[[#This Row],[total_price]]/Table1[[#This Row],[qty]]</f>
        <v>59.9</v>
      </c>
      <c r="AF196">
        <f t="shared" si="3"/>
        <v>59.900000000000006</v>
      </c>
      <c r="AG196">
        <f>IF(ROW()=2, "", AVERAGE(D$2:D195))</f>
        <v>15.345360824742269</v>
      </c>
    </row>
    <row r="197" spans="1:33" x14ac:dyDescent="0.25">
      <c r="A197" t="s">
        <v>52</v>
      </c>
      <c r="B197" t="s">
        <v>33</v>
      </c>
      <c r="C197" s="1">
        <v>42746</v>
      </c>
      <c r="D197">
        <v>91</v>
      </c>
      <c r="E197">
        <v>4769.7</v>
      </c>
      <c r="F197">
        <v>17.06747253</v>
      </c>
      <c r="G197">
        <v>52.406944439999997</v>
      </c>
      <c r="H197">
        <v>56</v>
      </c>
      <c r="I197">
        <v>348</v>
      </c>
      <c r="J197">
        <v>2</v>
      </c>
      <c r="K197">
        <v>1550</v>
      </c>
      <c r="L197">
        <v>4.0999999999999996</v>
      </c>
      <c r="M197">
        <v>339</v>
      </c>
      <c r="N197">
        <v>22</v>
      </c>
      <c r="O197">
        <v>8</v>
      </c>
      <c r="P197">
        <v>4</v>
      </c>
      <c r="Q197">
        <v>11</v>
      </c>
      <c r="R197">
        <v>2017</v>
      </c>
      <c r="S197">
        <v>32.971014490000002</v>
      </c>
      <c r="T197">
        <v>19800</v>
      </c>
      <c r="U197">
        <v>52.406944439999997</v>
      </c>
      <c r="V197">
        <v>4.0999999999999996</v>
      </c>
      <c r="W197">
        <v>17.06747253</v>
      </c>
      <c r="X197">
        <v>53.648281249999997</v>
      </c>
      <c r="Y197">
        <v>4.2</v>
      </c>
      <c r="Z197">
        <v>16.075862069999999</v>
      </c>
      <c r="AA197">
        <v>53.785714290000001</v>
      </c>
      <c r="AB197">
        <v>4.0999999999999996</v>
      </c>
      <c r="AC197">
        <v>18.27550725</v>
      </c>
      <c r="AD197">
        <v>59.9</v>
      </c>
      <c r="AE197">
        <f>Table1[[#This Row],[total_price]]/Table1[[#This Row],[qty]]</f>
        <v>52.414285714285711</v>
      </c>
      <c r="AF197">
        <f t="shared" si="3"/>
        <v>59.9</v>
      </c>
      <c r="AG197">
        <f>IF(ROW()=2, "", AVERAGE(D$2:D196))</f>
        <v>15.466666666666667</v>
      </c>
    </row>
    <row r="198" spans="1:33" x14ac:dyDescent="0.25">
      <c r="A198" t="s">
        <v>52</v>
      </c>
      <c r="B198" t="s">
        <v>33</v>
      </c>
      <c r="C198" s="1">
        <v>42747</v>
      </c>
      <c r="D198">
        <v>51</v>
      </c>
      <c r="E198">
        <v>2881.6</v>
      </c>
      <c r="F198">
        <v>15.759607839999999</v>
      </c>
      <c r="G198">
        <v>55.1</v>
      </c>
      <c r="H198">
        <v>56</v>
      </c>
      <c r="I198">
        <v>348</v>
      </c>
      <c r="J198">
        <v>2</v>
      </c>
      <c r="K198">
        <v>1550</v>
      </c>
      <c r="L198">
        <v>4.0999999999999996</v>
      </c>
      <c r="M198">
        <v>184</v>
      </c>
      <c r="N198">
        <v>21</v>
      </c>
      <c r="O198">
        <v>10</v>
      </c>
      <c r="P198">
        <v>1</v>
      </c>
      <c r="Q198">
        <v>12</v>
      </c>
      <c r="R198">
        <v>2017</v>
      </c>
      <c r="S198">
        <v>18.47826087</v>
      </c>
      <c r="T198">
        <v>19800</v>
      </c>
      <c r="U198">
        <v>55.1</v>
      </c>
      <c r="V198">
        <v>4.0999999999999996</v>
      </c>
      <c r="W198">
        <v>15.759607839999999</v>
      </c>
      <c r="X198">
        <v>55.424999999999997</v>
      </c>
      <c r="Y198">
        <v>4.2</v>
      </c>
      <c r="Z198">
        <v>19.184374999999999</v>
      </c>
      <c r="AA198">
        <v>55.75</v>
      </c>
      <c r="AB198">
        <v>4.0999999999999996</v>
      </c>
      <c r="AC198">
        <v>17.267272729999998</v>
      </c>
      <c r="AD198">
        <v>52.406944439999997</v>
      </c>
      <c r="AE198">
        <f>Table1[[#This Row],[total_price]]/Table1[[#This Row],[qty]]</f>
        <v>56.501960784313724</v>
      </c>
      <c r="AF198">
        <f t="shared" si="3"/>
        <v>52.414285714285711</v>
      </c>
      <c r="AG198">
        <f>IF(ROW()=2, "", AVERAGE(D$2:D197))</f>
        <v>15.852040816326531</v>
      </c>
    </row>
    <row r="199" spans="1:33" x14ac:dyDescent="0.25">
      <c r="A199" t="s">
        <v>52</v>
      </c>
      <c r="B199" t="s">
        <v>33</v>
      </c>
      <c r="C199" s="1">
        <v>43101</v>
      </c>
      <c r="D199">
        <v>12</v>
      </c>
      <c r="E199">
        <v>598.79999999999995</v>
      </c>
      <c r="F199">
        <v>19.495000000000001</v>
      </c>
      <c r="G199">
        <v>49.9</v>
      </c>
      <c r="H199">
        <v>56</v>
      </c>
      <c r="I199">
        <v>348</v>
      </c>
      <c r="J199">
        <v>2</v>
      </c>
      <c r="K199">
        <v>1550</v>
      </c>
      <c r="L199">
        <v>4.0999999999999996</v>
      </c>
      <c r="M199">
        <v>137</v>
      </c>
      <c r="N199">
        <v>23</v>
      </c>
      <c r="O199">
        <v>8</v>
      </c>
      <c r="P199">
        <v>2</v>
      </c>
      <c r="Q199">
        <v>1</v>
      </c>
      <c r="R199">
        <v>2018</v>
      </c>
      <c r="S199">
        <v>5.769230769</v>
      </c>
      <c r="T199">
        <v>19800</v>
      </c>
      <c r="U199">
        <v>49.9</v>
      </c>
      <c r="V199">
        <v>4.0999999999999996</v>
      </c>
      <c r="W199">
        <v>19.495000000000001</v>
      </c>
      <c r="X199">
        <v>49.9</v>
      </c>
      <c r="Y199">
        <v>4.2</v>
      </c>
      <c r="Z199">
        <v>15.841034479999999</v>
      </c>
      <c r="AA199">
        <v>49.9</v>
      </c>
      <c r="AB199">
        <v>4.0999999999999996</v>
      </c>
      <c r="AC199">
        <v>16.505128209999999</v>
      </c>
      <c r="AD199">
        <v>55.1</v>
      </c>
      <c r="AE199">
        <f>Table1[[#This Row],[total_price]]/Table1[[#This Row],[qty]]</f>
        <v>49.9</v>
      </c>
      <c r="AF199">
        <f t="shared" si="3"/>
        <v>56.501960784313724</v>
      </c>
      <c r="AG199">
        <f>IF(ROW()=2, "", AVERAGE(D$2:D198))</f>
        <v>16.030456852791879</v>
      </c>
    </row>
    <row r="200" spans="1:33" x14ac:dyDescent="0.25">
      <c r="A200" t="s">
        <v>52</v>
      </c>
      <c r="B200" t="s">
        <v>33</v>
      </c>
      <c r="C200" s="1">
        <v>43102</v>
      </c>
      <c r="D200">
        <v>39</v>
      </c>
      <c r="E200">
        <v>1970.1</v>
      </c>
      <c r="F200">
        <v>16.611538459999998</v>
      </c>
      <c r="G200">
        <v>50.545161290000003</v>
      </c>
      <c r="H200">
        <v>56</v>
      </c>
      <c r="I200">
        <v>348</v>
      </c>
      <c r="J200">
        <v>2</v>
      </c>
      <c r="K200">
        <v>1550</v>
      </c>
      <c r="L200">
        <v>4.0999999999999996</v>
      </c>
      <c r="M200">
        <v>160</v>
      </c>
      <c r="N200">
        <v>20</v>
      </c>
      <c r="O200">
        <v>8</v>
      </c>
      <c r="P200">
        <v>2</v>
      </c>
      <c r="Q200">
        <v>2</v>
      </c>
      <c r="R200">
        <v>2018</v>
      </c>
      <c r="S200">
        <v>18.75</v>
      </c>
      <c r="T200">
        <v>19800</v>
      </c>
      <c r="U200">
        <v>50.545161290000003</v>
      </c>
      <c r="V200">
        <v>4.0999999999999996</v>
      </c>
      <c r="W200">
        <v>16.611538459999998</v>
      </c>
      <c r="X200">
        <v>50.9</v>
      </c>
      <c r="Y200">
        <v>4.2</v>
      </c>
      <c r="Z200">
        <v>17.519444440000001</v>
      </c>
      <c r="AA200">
        <v>50.357142860000003</v>
      </c>
      <c r="AB200">
        <v>4.0999999999999996</v>
      </c>
      <c r="AC200">
        <v>18.281874999999999</v>
      </c>
      <c r="AD200">
        <v>49.9</v>
      </c>
      <c r="AE200">
        <f>Table1[[#This Row],[total_price]]/Table1[[#This Row],[qty]]</f>
        <v>50.515384615384612</v>
      </c>
      <c r="AF200">
        <f t="shared" si="3"/>
        <v>49.9</v>
      </c>
      <c r="AG200">
        <f>IF(ROW()=2, "", AVERAGE(D$2:D199))</f>
        <v>16.01010101010101</v>
      </c>
    </row>
    <row r="201" spans="1:33" x14ac:dyDescent="0.25">
      <c r="A201" t="s">
        <v>52</v>
      </c>
      <c r="B201" t="s">
        <v>33</v>
      </c>
      <c r="C201" s="1">
        <v>43103</v>
      </c>
      <c r="D201">
        <v>31</v>
      </c>
      <c r="E201">
        <v>1670.9</v>
      </c>
      <c r="F201">
        <v>20.359677420000001</v>
      </c>
      <c r="G201">
        <v>53.9</v>
      </c>
      <c r="H201">
        <v>56</v>
      </c>
      <c r="I201">
        <v>348</v>
      </c>
      <c r="J201">
        <v>2</v>
      </c>
      <c r="K201">
        <v>1550</v>
      </c>
      <c r="L201">
        <v>4.0999999999999996</v>
      </c>
      <c r="M201">
        <v>116</v>
      </c>
      <c r="N201">
        <v>22</v>
      </c>
      <c r="O201">
        <v>9</v>
      </c>
      <c r="P201">
        <v>1</v>
      </c>
      <c r="Q201">
        <v>3</v>
      </c>
      <c r="R201">
        <v>2018</v>
      </c>
      <c r="S201">
        <v>14.90384615</v>
      </c>
      <c r="T201">
        <v>19800</v>
      </c>
      <c r="U201">
        <v>53.9</v>
      </c>
      <c r="V201">
        <v>4.0999999999999996</v>
      </c>
      <c r="W201">
        <v>20.359677420000001</v>
      </c>
      <c r="X201">
        <v>53.9</v>
      </c>
      <c r="Y201">
        <v>4.2</v>
      </c>
      <c r="Z201">
        <v>21.852857140000001</v>
      </c>
      <c r="AA201">
        <v>53.9</v>
      </c>
      <c r="AB201">
        <v>4.0999999999999996</v>
      </c>
      <c r="AC201">
        <v>19.024230769999999</v>
      </c>
      <c r="AD201">
        <v>50.545161290000003</v>
      </c>
      <c r="AE201">
        <f>Table1[[#This Row],[total_price]]/Table1[[#This Row],[qty]]</f>
        <v>53.900000000000006</v>
      </c>
      <c r="AF201">
        <f t="shared" si="3"/>
        <v>50.515384615384612</v>
      </c>
      <c r="AG201">
        <f>IF(ROW()=2, "", AVERAGE(D$2:D200))</f>
        <v>16.125628140703519</v>
      </c>
    </row>
    <row r="202" spans="1:33" x14ac:dyDescent="0.25">
      <c r="A202" t="s">
        <v>52</v>
      </c>
      <c r="B202" t="s">
        <v>33</v>
      </c>
      <c r="C202" s="1">
        <v>43104</v>
      </c>
      <c r="D202">
        <v>46</v>
      </c>
      <c r="E202">
        <v>2479.4</v>
      </c>
      <c r="F202">
        <v>5.2817391300000001</v>
      </c>
      <c r="G202">
        <v>53.9</v>
      </c>
      <c r="H202">
        <v>56</v>
      </c>
      <c r="I202">
        <v>348</v>
      </c>
      <c r="J202">
        <v>2</v>
      </c>
      <c r="K202">
        <v>1550</v>
      </c>
      <c r="L202">
        <v>4.0999999999999996</v>
      </c>
      <c r="M202">
        <v>111</v>
      </c>
      <c r="N202">
        <v>21</v>
      </c>
      <c r="O202">
        <v>9</v>
      </c>
      <c r="P202">
        <v>1</v>
      </c>
      <c r="Q202">
        <v>4</v>
      </c>
      <c r="R202">
        <v>2018</v>
      </c>
      <c r="S202">
        <v>22.11538462</v>
      </c>
      <c r="T202">
        <v>19800</v>
      </c>
      <c r="U202">
        <v>53.9</v>
      </c>
      <c r="V202">
        <v>4.0999999999999996</v>
      </c>
      <c r="W202">
        <v>5.2817391300000001</v>
      </c>
      <c r="X202">
        <v>53.9</v>
      </c>
      <c r="Y202">
        <v>4.2</v>
      </c>
      <c r="Z202">
        <v>19.46846154</v>
      </c>
      <c r="AA202">
        <v>53.9</v>
      </c>
      <c r="AB202">
        <v>4.0999999999999996</v>
      </c>
      <c r="AC202">
        <v>19.071428569999998</v>
      </c>
      <c r="AD202">
        <v>53.9</v>
      </c>
      <c r="AE202">
        <f>Table1[[#This Row],[total_price]]/Table1[[#This Row],[qty]]</f>
        <v>53.9</v>
      </c>
      <c r="AF202">
        <f t="shared" si="3"/>
        <v>53.900000000000006</v>
      </c>
      <c r="AG202">
        <f>IF(ROW()=2, "", AVERAGE(D$2:D201))</f>
        <v>16.2</v>
      </c>
    </row>
    <row r="203" spans="1:33" x14ac:dyDescent="0.25">
      <c r="A203" t="s">
        <v>52</v>
      </c>
      <c r="B203" t="s">
        <v>33</v>
      </c>
      <c r="C203" s="1">
        <v>43105</v>
      </c>
      <c r="D203">
        <v>56</v>
      </c>
      <c r="E203">
        <v>2982.4</v>
      </c>
      <c r="F203">
        <v>10.753035710000001</v>
      </c>
      <c r="G203">
        <v>53.415151520000002</v>
      </c>
      <c r="H203">
        <v>56</v>
      </c>
      <c r="I203">
        <v>348</v>
      </c>
      <c r="J203">
        <v>2</v>
      </c>
      <c r="K203">
        <v>1550</v>
      </c>
      <c r="L203">
        <v>4.0999999999999996</v>
      </c>
      <c r="M203">
        <v>102</v>
      </c>
      <c r="N203">
        <v>23</v>
      </c>
      <c r="O203">
        <v>8</v>
      </c>
      <c r="P203">
        <v>3</v>
      </c>
      <c r="Q203">
        <v>5</v>
      </c>
      <c r="R203">
        <v>2018</v>
      </c>
      <c r="S203">
        <v>14.186176140000001</v>
      </c>
      <c r="T203">
        <v>19800</v>
      </c>
      <c r="U203">
        <v>53.415151520000002</v>
      </c>
      <c r="V203">
        <v>4.0999999999999996</v>
      </c>
      <c r="W203">
        <v>10.753035710000001</v>
      </c>
      <c r="X203">
        <v>53.70952381</v>
      </c>
      <c r="Y203">
        <v>4.2</v>
      </c>
      <c r="Z203">
        <v>13.510344829999999</v>
      </c>
      <c r="AA203">
        <v>53.057894740000002</v>
      </c>
      <c r="AB203">
        <v>4.0999999999999996</v>
      </c>
      <c r="AC203">
        <v>12.98</v>
      </c>
      <c r="AD203">
        <v>53.9</v>
      </c>
      <c r="AE203">
        <f>Table1[[#This Row],[total_price]]/Table1[[#This Row],[qty]]</f>
        <v>53.25714285714286</v>
      </c>
      <c r="AF203">
        <f t="shared" si="3"/>
        <v>53.9</v>
      </c>
      <c r="AG203">
        <f>IF(ROW()=2, "", AVERAGE(D$2:D202))</f>
        <v>16.348258706467661</v>
      </c>
    </row>
    <row r="204" spans="1:33" x14ac:dyDescent="0.25">
      <c r="A204" t="s">
        <v>52</v>
      </c>
      <c r="B204" t="s">
        <v>33</v>
      </c>
      <c r="C204" s="1">
        <v>43106</v>
      </c>
      <c r="D204">
        <v>12</v>
      </c>
      <c r="E204">
        <v>598.79999999999995</v>
      </c>
      <c r="F204">
        <v>19.89083333</v>
      </c>
      <c r="G204">
        <v>49.9</v>
      </c>
      <c r="H204">
        <v>56</v>
      </c>
      <c r="I204">
        <v>348</v>
      </c>
      <c r="J204">
        <v>2</v>
      </c>
      <c r="K204">
        <v>1550</v>
      </c>
      <c r="L204">
        <v>4.0999999999999996</v>
      </c>
      <c r="M204">
        <v>58</v>
      </c>
      <c r="N204">
        <v>21</v>
      </c>
      <c r="O204">
        <v>9</v>
      </c>
      <c r="P204">
        <v>0</v>
      </c>
      <c r="Q204">
        <v>6</v>
      </c>
      <c r="R204">
        <v>2018</v>
      </c>
      <c r="S204">
        <v>3.0657748050000002</v>
      </c>
      <c r="T204">
        <v>19800</v>
      </c>
      <c r="U204">
        <v>49.9</v>
      </c>
      <c r="V204">
        <v>4.0999999999999996</v>
      </c>
      <c r="W204">
        <v>19.89083333</v>
      </c>
      <c r="X204">
        <v>49.9</v>
      </c>
      <c r="Y204">
        <v>4.2</v>
      </c>
      <c r="Z204">
        <v>23.251666669999999</v>
      </c>
      <c r="AA204">
        <v>49.9</v>
      </c>
      <c r="AB204">
        <v>4.0999999999999996</v>
      </c>
      <c r="AC204">
        <v>22.878666670000001</v>
      </c>
      <c r="AD204">
        <v>53.415151520000002</v>
      </c>
      <c r="AE204">
        <f>Table1[[#This Row],[total_price]]/Table1[[#This Row],[qty]]</f>
        <v>49.9</v>
      </c>
      <c r="AF204">
        <f t="shared" si="3"/>
        <v>53.25714285714286</v>
      </c>
      <c r="AG204">
        <f>IF(ROW()=2, "", AVERAGE(D$2:D203))</f>
        <v>16.544554455445546</v>
      </c>
    </row>
    <row r="205" spans="1:33" x14ac:dyDescent="0.25">
      <c r="A205" t="s">
        <v>52</v>
      </c>
      <c r="B205" t="s">
        <v>33</v>
      </c>
      <c r="C205" s="1">
        <v>43107</v>
      </c>
      <c r="D205">
        <v>6</v>
      </c>
      <c r="E205">
        <v>299.45999999999998</v>
      </c>
      <c r="F205">
        <v>28.373333330000001</v>
      </c>
      <c r="G205">
        <v>49.91</v>
      </c>
      <c r="H205">
        <v>56</v>
      </c>
      <c r="I205">
        <v>348</v>
      </c>
      <c r="J205">
        <v>2</v>
      </c>
      <c r="K205">
        <v>1550</v>
      </c>
      <c r="L205">
        <v>4.0999999999999996</v>
      </c>
      <c r="M205">
        <v>54</v>
      </c>
      <c r="N205">
        <v>22</v>
      </c>
      <c r="O205">
        <v>9</v>
      </c>
      <c r="P205">
        <v>1</v>
      </c>
      <c r="Q205">
        <v>7</v>
      </c>
      <c r="R205">
        <v>2018</v>
      </c>
      <c r="S205">
        <v>3.9785395760000002</v>
      </c>
      <c r="T205">
        <v>19800</v>
      </c>
      <c r="U205">
        <v>49.91</v>
      </c>
      <c r="V205">
        <v>4.0999999999999996</v>
      </c>
      <c r="W205">
        <v>28.373333330000001</v>
      </c>
      <c r="X205">
        <v>49.9</v>
      </c>
      <c r="Y205">
        <v>4.2</v>
      </c>
      <c r="Z205">
        <v>33.281428570000003</v>
      </c>
      <c r="AA205">
        <v>49.9</v>
      </c>
      <c r="AB205">
        <v>4.0999999999999996</v>
      </c>
      <c r="AC205">
        <v>20.99</v>
      </c>
      <c r="AD205">
        <v>49.9</v>
      </c>
      <c r="AE205">
        <f>Table1[[#This Row],[total_price]]/Table1[[#This Row],[qty]]</f>
        <v>49.91</v>
      </c>
      <c r="AF205">
        <f t="shared" si="3"/>
        <v>49.9</v>
      </c>
      <c r="AG205">
        <f>IF(ROW()=2, "", AVERAGE(D$2:D204))</f>
        <v>16.52216748768473</v>
      </c>
    </row>
    <row r="206" spans="1:33" x14ac:dyDescent="0.25">
      <c r="A206" t="s">
        <v>52</v>
      </c>
      <c r="B206" t="s">
        <v>33</v>
      </c>
      <c r="C206" s="1">
        <v>43108</v>
      </c>
      <c r="D206">
        <v>6</v>
      </c>
      <c r="E206">
        <v>299.45999999999998</v>
      </c>
      <c r="F206">
        <v>20.32833333</v>
      </c>
      <c r="G206">
        <v>49.91</v>
      </c>
      <c r="H206">
        <v>56</v>
      </c>
      <c r="I206">
        <v>348</v>
      </c>
      <c r="J206">
        <v>2</v>
      </c>
      <c r="K206">
        <v>1550</v>
      </c>
      <c r="L206">
        <v>4.0999999999999996</v>
      </c>
      <c r="M206">
        <v>46</v>
      </c>
      <c r="N206">
        <v>23</v>
      </c>
      <c r="O206">
        <v>8</v>
      </c>
      <c r="P206">
        <v>1</v>
      </c>
      <c r="Q206">
        <v>8</v>
      </c>
      <c r="R206">
        <v>2018</v>
      </c>
      <c r="S206">
        <v>8.5075250839999992</v>
      </c>
      <c r="T206">
        <v>19800</v>
      </c>
      <c r="U206">
        <v>49.91</v>
      </c>
      <c r="V206">
        <v>4.0999999999999996</v>
      </c>
      <c r="W206">
        <v>20.32833333</v>
      </c>
      <c r="X206">
        <v>49.9</v>
      </c>
      <c r="Y206">
        <v>4.2</v>
      </c>
      <c r="Z206">
        <v>36.442</v>
      </c>
      <c r="AA206">
        <v>49.9</v>
      </c>
      <c r="AB206">
        <v>4.0999999999999996</v>
      </c>
      <c r="AC206">
        <v>32.32</v>
      </c>
      <c r="AD206">
        <v>49.91</v>
      </c>
      <c r="AE206">
        <f>Table1[[#This Row],[total_price]]/Table1[[#This Row],[qty]]</f>
        <v>49.91</v>
      </c>
      <c r="AF206">
        <f t="shared" si="3"/>
        <v>49.91</v>
      </c>
      <c r="AG206">
        <f>IF(ROW()=2, "", AVERAGE(D$2:D205))</f>
        <v>16.470588235294116</v>
      </c>
    </row>
    <row r="207" spans="1:33" x14ac:dyDescent="0.25">
      <c r="A207" t="s">
        <v>53</v>
      </c>
      <c r="B207" t="s">
        <v>38</v>
      </c>
      <c r="C207" s="1">
        <v>43102</v>
      </c>
      <c r="D207">
        <v>21</v>
      </c>
      <c r="E207">
        <v>994.04</v>
      </c>
      <c r="F207">
        <v>10.20047619</v>
      </c>
      <c r="G207">
        <v>47.357894739999999</v>
      </c>
      <c r="H207">
        <v>40</v>
      </c>
      <c r="I207">
        <v>409</v>
      </c>
      <c r="J207">
        <v>1</v>
      </c>
      <c r="K207">
        <v>1110</v>
      </c>
      <c r="L207">
        <v>4.2</v>
      </c>
      <c r="M207">
        <v>126</v>
      </c>
      <c r="N207">
        <v>20</v>
      </c>
      <c r="O207">
        <v>8</v>
      </c>
      <c r="P207">
        <v>2</v>
      </c>
      <c r="Q207">
        <v>2</v>
      </c>
      <c r="R207">
        <v>2018</v>
      </c>
      <c r="S207">
        <v>13.548387099999999</v>
      </c>
      <c r="T207">
        <v>3762</v>
      </c>
      <c r="U207">
        <v>23.99</v>
      </c>
      <c r="V207">
        <v>4.3</v>
      </c>
      <c r="W207">
        <v>12.55</v>
      </c>
      <c r="X207">
        <v>89.99</v>
      </c>
      <c r="Y207">
        <v>4.0999999999999996</v>
      </c>
      <c r="Z207">
        <v>16.307647060000001</v>
      </c>
      <c r="AA207">
        <v>58.99</v>
      </c>
      <c r="AB207">
        <v>3.9</v>
      </c>
      <c r="AC207">
        <v>19.574999999999999</v>
      </c>
      <c r="AD207">
        <v>47.307894740000002</v>
      </c>
      <c r="AE207">
        <f>Table1[[#This Row],[total_price]]/Table1[[#This Row],[qty]]</f>
        <v>47.335238095238097</v>
      </c>
      <c r="AF207" t="str">
        <f t="shared" si="3"/>
        <v/>
      </c>
      <c r="AG207">
        <f>IF(ROW()=2, "", AVERAGE(D$2:D206))</f>
        <v>16.41951219512195</v>
      </c>
    </row>
    <row r="208" spans="1:33" x14ac:dyDescent="0.25">
      <c r="A208" t="s">
        <v>53</v>
      </c>
      <c r="B208" t="s">
        <v>38</v>
      </c>
      <c r="C208" s="1">
        <v>43103</v>
      </c>
      <c r="D208">
        <v>58</v>
      </c>
      <c r="E208">
        <v>2809.65</v>
      </c>
      <c r="F208">
        <v>12.563448279999999</v>
      </c>
      <c r="G208">
        <v>48.459444439999999</v>
      </c>
      <c r="H208">
        <v>40</v>
      </c>
      <c r="I208">
        <v>409</v>
      </c>
      <c r="J208">
        <v>1</v>
      </c>
      <c r="K208">
        <v>1110</v>
      </c>
      <c r="L208">
        <v>4.2</v>
      </c>
      <c r="M208">
        <v>169</v>
      </c>
      <c r="N208">
        <v>22</v>
      </c>
      <c r="O208">
        <v>9</v>
      </c>
      <c r="P208">
        <v>1</v>
      </c>
      <c r="Q208">
        <v>3</v>
      </c>
      <c r="R208">
        <v>2018</v>
      </c>
      <c r="S208">
        <v>37.419354839999997</v>
      </c>
      <c r="T208">
        <v>3762</v>
      </c>
      <c r="U208">
        <v>23.99</v>
      </c>
      <c r="V208">
        <v>4.3</v>
      </c>
      <c r="W208">
        <v>14.19875</v>
      </c>
      <c r="X208">
        <v>83.74</v>
      </c>
      <c r="Y208">
        <v>4.0999999999999996</v>
      </c>
      <c r="Z208">
        <v>11.876875</v>
      </c>
      <c r="AA208">
        <v>58.99</v>
      </c>
      <c r="AB208">
        <v>3.9</v>
      </c>
      <c r="AC208">
        <v>15.228</v>
      </c>
      <c r="AD208">
        <v>47.357894739999999</v>
      </c>
      <c r="AE208">
        <f>Table1[[#This Row],[total_price]]/Table1[[#This Row],[qty]]</f>
        <v>48.442241379310346</v>
      </c>
      <c r="AF208">
        <f t="shared" si="3"/>
        <v>47.335238095238097</v>
      </c>
      <c r="AG208">
        <f>IF(ROW()=2, "", AVERAGE(D$2:D207))</f>
        <v>16.441747572815533</v>
      </c>
    </row>
    <row r="209" spans="1:33" x14ac:dyDescent="0.25">
      <c r="A209" t="s">
        <v>53</v>
      </c>
      <c r="B209" t="s">
        <v>38</v>
      </c>
      <c r="C209" s="1">
        <v>43104</v>
      </c>
      <c r="D209">
        <v>18</v>
      </c>
      <c r="E209">
        <v>965.91</v>
      </c>
      <c r="F209">
        <v>13.160555560000001</v>
      </c>
      <c r="G209">
        <v>53.701764709999999</v>
      </c>
      <c r="H209">
        <v>40</v>
      </c>
      <c r="I209">
        <v>409</v>
      </c>
      <c r="J209">
        <v>1</v>
      </c>
      <c r="K209">
        <v>1110</v>
      </c>
      <c r="L209">
        <v>4.2</v>
      </c>
      <c r="M209">
        <v>118</v>
      </c>
      <c r="N209">
        <v>21</v>
      </c>
      <c r="O209">
        <v>9</v>
      </c>
      <c r="P209">
        <v>1</v>
      </c>
      <c r="Q209">
        <v>4</v>
      </c>
      <c r="R209">
        <v>2018</v>
      </c>
      <c r="S209">
        <v>11.612903230000001</v>
      </c>
      <c r="T209">
        <v>3762</v>
      </c>
      <c r="U209">
        <v>53.701764709999999</v>
      </c>
      <c r="V209">
        <v>4.2</v>
      </c>
      <c r="W209">
        <v>13.160555560000001</v>
      </c>
      <c r="X209">
        <v>79.989999999999995</v>
      </c>
      <c r="Y209">
        <v>4.0999999999999996</v>
      </c>
      <c r="Z209">
        <v>14.484999999999999</v>
      </c>
      <c r="AA209">
        <v>58.99</v>
      </c>
      <c r="AB209">
        <v>3.9</v>
      </c>
      <c r="AC209">
        <v>16.302727269999998</v>
      </c>
      <c r="AD209">
        <v>48.459444439999999</v>
      </c>
      <c r="AE209">
        <f>Table1[[#This Row],[total_price]]/Table1[[#This Row],[qty]]</f>
        <v>53.661666666666662</v>
      </c>
      <c r="AF209">
        <f t="shared" si="3"/>
        <v>48.442241379310346</v>
      </c>
      <c r="AG209">
        <f>IF(ROW()=2, "", AVERAGE(D$2:D208))</f>
        <v>16.642512077294686</v>
      </c>
    </row>
    <row r="210" spans="1:33" x14ac:dyDescent="0.25">
      <c r="A210" t="s">
        <v>53</v>
      </c>
      <c r="B210" t="s">
        <v>38</v>
      </c>
      <c r="C210" s="1">
        <v>43105</v>
      </c>
      <c r="D210">
        <v>33</v>
      </c>
      <c r="E210">
        <v>1723.08</v>
      </c>
      <c r="F210">
        <v>10.631212120000001</v>
      </c>
      <c r="G210">
        <v>52.069285710000003</v>
      </c>
      <c r="H210">
        <v>40</v>
      </c>
      <c r="I210">
        <v>409</v>
      </c>
      <c r="J210">
        <v>1</v>
      </c>
      <c r="K210">
        <v>1110</v>
      </c>
      <c r="L210">
        <v>4.2</v>
      </c>
      <c r="M210">
        <v>159</v>
      </c>
      <c r="N210">
        <v>23</v>
      </c>
      <c r="O210">
        <v>8</v>
      </c>
      <c r="P210">
        <v>3</v>
      </c>
      <c r="Q210">
        <v>5</v>
      </c>
      <c r="R210">
        <v>2018</v>
      </c>
      <c r="S210">
        <v>21.290322580000002</v>
      </c>
      <c r="T210">
        <v>3762</v>
      </c>
      <c r="U210">
        <v>23.99</v>
      </c>
      <c r="V210">
        <v>4.3</v>
      </c>
      <c r="W210">
        <v>7.9885714290000003</v>
      </c>
      <c r="X210">
        <v>79.989999999999995</v>
      </c>
      <c r="Y210">
        <v>4.0999999999999996</v>
      </c>
      <c r="Z210">
        <v>21.943124999999998</v>
      </c>
      <c r="AA210">
        <v>58.99</v>
      </c>
      <c r="AB210">
        <v>3.9</v>
      </c>
      <c r="AC210">
        <v>9.4224999999999994</v>
      </c>
      <c r="AD210">
        <v>53.701764709999999</v>
      </c>
      <c r="AE210">
        <f>Table1[[#This Row],[total_price]]/Table1[[#This Row],[qty]]</f>
        <v>52.214545454545451</v>
      </c>
      <c r="AF210">
        <f t="shared" si="3"/>
        <v>53.661666666666662</v>
      </c>
      <c r="AG210">
        <f>IF(ROW()=2, "", AVERAGE(D$2:D209))</f>
        <v>16.64903846153846</v>
      </c>
    </row>
    <row r="211" spans="1:33" x14ac:dyDescent="0.25">
      <c r="A211" t="s">
        <v>53</v>
      </c>
      <c r="B211" t="s">
        <v>38</v>
      </c>
      <c r="C211" s="1">
        <v>43106</v>
      </c>
      <c r="D211">
        <v>9</v>
      </c>
      <c r="E211">
        <v>449.82</v>
      </c>
      <c r="F211">
        <v>12.91</v>
      </c>
      <c r="G211">
        <v>49.98</v>
      </c>
      <c r="H211">
        <v>40</v>
      </c>
      <c r="I211">
        <v>409</v>
      </c>
      <c r="J211">
        <v>1</v>
      </c>
      <c r="K211">
        <v>1110</v>
      </c>
      <c r="L211">
        <v>4.2</v>
      </c>
      <c r="M211">
        <v>131</v>
      </c>
      <c r="N211">
        <v>21</v>
      </c>
      <c r="O211">
        <v>9</v>
      </c>
      <c r="P211">
        <v>0</v>
      </c>
      <c r="Q211">
        <v>6</v>
      </c>
      <c r="R211">
        <v>2018</v>
      </c>
      <c r="S211">
        <v>5.8064516130000001</v>
      </c>
      <c r="T211">
        <v>3762</v>
      </c>
      <c r="U211">
        <v>23.99</v>
      </c>
      <c r="V211">
        <v>4.3</v>
      </c>
      <c r="W211">
        <v>16.27</v>
      </c>
      <c r="X211">
        <v>79.989999999999995</v>
      </c>
      <c r="Y211">
        <v>4.0999999999999996</v>
      </c>
      <c r="Z211">
        <v>13.36230769</v>
      </c>
      <c r="AA211">
        <v>58.99</v>
      </c>
      <c r="AB211">
        <v>3.9</v>
      </c>
      <c r="AC211">
        <v>16.43</v>
      </c>
      <c r="AD211">
        <v>52.069285710000003</v>
      </c>
      <c r="AE211">
        <f>Table1[[#This Row],[total_price]]/Table1[[#This Row],[qty]]</f>
        <v>49.98</v>
      </c>
      <c r="AF211">
        <f t="shared" si="3"/>
        <v>52.214545454545451</v>
      </c>
      <c r="AG211">
        <f>IF(ROW()=2, "", AVERAGE(D$2:D210))</f>
        <v>16.727272727272727</v>
      </c>
    </row>
    <row r="212" spans="1:33" x14ac:dyDescent="0.25">
      <c r="A212" t="s">
        <v>53</v>
      </c>
      <c r="B212" t="s">
        <v>38</v>
      </c>
      <c r="C212" s="1">
        <v>43107</v>
      </c>
      <c r="D212">
        <v>5</v>
      </c>
      <c r="E212">
        <v>257.56</v>
      </c>
      <c r="F212">
        <v>14.368</v>
      </c>
      <c r="G212">
        <v>51.512</v>
      </c>
      <c r="H212">
        <v>40</v>
      </c>
      <c r="I212">
        <v>409</v>
      </c>
      <c r="J212">
        <v>1</v>
      </c>
      <c r="K212">
        <v>1110</v>
      </c>
      <c r="L212">
        <v>4.2</v>
      </c>
      <c r="M212">
        <v>113</v>
      </c>
      <c r="N212">
        <v>22</v>
      </c>
      <c r="O212">
        <v>9</v>
      </c>
      <c r="P212">
        <v>1</v>
      </c>
      <c r="Q212">
        <v>7</v>
      </c>
      <c r="R212">
        <v>2018</v>
      </c>
      <c r="S212">
        <v>3.225806452</v>
      </c>
      <c r="T212">
        <v>3762</v>
      </c>
      <c r="U212">
        <v>23.99</v>
      </c>
      <c r="V212">
        <v>4.3</v>
      </c>
      <c r="W212">
        <v>18.809999999999999</v>
      </c>
      <c r="X212">
        <v>79.989999999999995</v>
      </c>
      <c r="Y212">
        <v>4.0999999999999996</v>
      </c>
      <c r="Z212">
        <v>16.745000000000001</v>
      </c>
      <c r="AA212">
        <v>58.99</v>
      </c>
      <c r="AB212">
        <v>3.9</v>
      </c>
      <c r="AC212">
        <v>7.67</v>
      </c>
      <c r="AD212">
        <v>49.98</v>
      </c>
      <c r="AE212">
        <f>Table1[[#This Row],[total_price]]/Table1[[#This Row],[qty]]</f>
        <v>51.512</v>
      </c>
      <c r="AF212">
        <f t="shared" si="3"/>
        <v>49.98</v>
      </c>
      <c r="AG212">
        <f>IF(ROW()=2, "", AVERAGE(D$2:D211))</f>
        <v>16.69047619047619</v>
      </c>
    </row>
    <row r="213" spans="1:33" x14ac:dyDescent="0.25">
      <c r="A213" t="s">
        <v>53</v>
      </c>
      <c r="B213" t="s">
        <v>38</v>
      </c>
      <c r="C213" s="1">
        <v>43108</v>
      </c>
      <c r="D213">
        <v>11</v>
      </c>
      <c r="E213">
        <v>557.85</v>
      </c>
      <c r="F213">
        <v>9.3127272730000001</v>
      </c>
      <c r="G213">
        <v>50.71</v>
      </c>
      <c r="H213">
        <v>40</v>
      </c>
      <c r="I213">
        <v>409</v>
      </c>
      <c r="J213">
        <v>1</v>
      </c>
      <c r="K213">
        <v>1110</v>
      </c>
      <c r="L213">
        <v>4.2</v>
      </c>
      <c r="M213">
        <v>127</v>
      </c>
      <c r="N213">
        <v>23</v>
      </c>
      <c r="O213">
        <v>8</v>
      </c>
      <c r="P213">
        <v>1</v>
      </c>
      <c r="Q213">
        <v>8</v>
      </c>
      <c r="R213">
        <v>2018</v>
      </c>
      <c r="S213">
        <v>7.096774194</v>
      </c>
      <c r="T213">
        <v>3762</v>
      </c>
      <c r="U213">
        <v>23.99</v>
      </c>
      <c r="V213">
        <v>4.3</v>
      </c>
      <c r="W213">
        <v>16.77</v>
      </c>
      <c r="X213">
        <v>82.821428569999995</v>
      </c>
      <c r="Y213">
        <v>4.0999999999999996</v>
      </c>
      <c r="Z213">
        <v>12.41857143</v>
      </c>
      <c r="AA213">
        <v>58.99</v>
      </c>
      <c r="AB213">
        <v>3.9</v>
      </c>
      <c r="AC213">
        <v>12.08333333</v>
      </c>
      <c r="AD213">
        <v>51.512</v>
      </c>
      <c r="AE213">
        <f>Table1[[#This Row],[total_price]]/Table1[[#This Row],[qty]]</f>
        <v>50.713636363636368</v>
      </c>
      <c r="AF213">
        <f t="shared" si="3"/>
        <v>51.512</v>
      </c>
      <c r="AG213">
        <f>IF(ROW()=2, "", AVERAGE(D$2:D212))</f>
        <v>16.635071090047393</v>
      </c>
    </row>
    <row r="214" spans="1:33" x14ac:dyDescent="0.25">
      <c r="A214" t="s">
        <v>54</v>
      </c>
      <c r="B214" t="s">
        <v>55</v>
      </c>
      <c r="C214" s="1">
        <v>42741</v>
      </c>
      <c r="D214">
        <v>5</v>
      </c>
      <c r="E214">
        <v>789.95</v>
      </c>
      <c r="F214">
        <v>13.91</v>
      </c>
      <c r="G214">
        <v>157.99</v>
      </c>
      <c r="H214">
        <v>35</v>
      </c>
      <c r="I214">
        <v>591</v>
      </c>
      <c r="J214">
        <v>3</v>
      </c>
      <c r="K214">
        <v>444</v>
      </c>
      <c r="L214">
        <v>4</v>
      </c>
      <c r="M214">
        <v>17</v>
      </c>
      <c r="N214">
        <v>22</v>
      </c>
      <c r="O214">
        <v>8</v>
      </c>
      <c r="P214">
        <v>1</v>
      </c>
      <c r="Q214">
        <v>6</v>
      </c>
      <c r="R214">
        <v>2017</v>
      </c>
      <c r="S214">
        <v>4.0728228230000001</v>
      </c>
      <c r="T214">
        <v>4480</v>
      </c>
      <c r="U214">
        <v>163</v>
      </c>
      <c r="V214">
        <v>4.2</v>
      </c>
      <c r="W214">
        <v>14.265000000000001</v>
      </c>
      <c r="X214">
        <v>157.99</v>
      </c>
      <c r="Y214">
        <v>4</v>
      </c>
      <c r="Z214">
        <v>13.91</v>
      </c>
      <c r="AA214">
        <v>185</v>
      </c>
      <c r="AB214">
        <v>3.8</v>
      </c>
      <c r="AC214">
        <v>14.74</v>
      </c>
      <c r="AD214">
        <v>157.94</v>
      </c>
      <c r="AE214">
        <f>Table1[[#This Row],[total_price]]/Table1[[#This Row],[qty]]</f>
        <v>157.99</v>
      </c>
      <c r="AF214" t="str">
        <f t="shared" si="3"/>
        <v/>
      </c>
      <c r="AG214">
        <f>IF(ROW()=2, "", AVERAGE(D$2:D213))</f>
        <v>16.608490566037737</v>
      </c>
    </row>
    <row r="215" spans="1:33" x14ac:dyDescent="0.25">
      <c r="A215" t="s">
        <v>54</v>
      </c>
      <c r="B215" t="s">
        <v>55</v>
      </c>
      <c r="C215" s="1">
        <v>42742</v>
      </c>
      <c r="D215">
        <v>6</v>
      </c>
      <c r="E215">
        <v>1016.95</v>
      </c>
      <c r="F215">
        <v>14.95</v>
      </c>
      <c r="G215">
        <v>171.792</v>
      </c>
      <c r="H215">
        <v>35</v>
      </c>
      <c r="I215">
        <v>591</v>
      </c>
      <c r="J215">
        <v>3</v>
      </c>
      <c r="K215">
        <v>444</v>
      </c>
      <c r="L215">
        <v>4</v>
      </c>
      <c r="M215">
        <v>29</v>
      </c>
      <c r="N215">
        <v>21</v>
      </c>
      <c r="O215">
        <v>10</v>
      </c>
      <c r="P215">
        <v>1</v>
      </c>
      <c r="Q215">
        <v>7</v>
      </c>
      <c r="R215">
        <v>2017</v>
      </c>
      <c r="S215">
        <v>7.5262762759999999</v>
      </c>
      <c r="T215">
        <v>4480</v>
      </c>
      <c r="U215">
        <v>161.5909091</v>
      </c>
      <c r="V215">
        <v>4.2</v>
      </c>
      <c r="W215">
        <v>15.525454549999999</v>
      </c>
      <c r="X215">
        <v>171.792</v>
      </c>
      <c r="Y215">
        <v>4</v>
      </c>
      <c r="Z215">
        <v>14.95</v>
      </c>
      <c r="AA215">
        <v>197.38300000000001</v>
      </c>
      <c r="AB215">
        <v>3.8</v>
      </c>
      <c r="AC215">
        <v>16.606000000000002</v>
      </c>
      <c r="AD215">
        <v>157.99</v>
      </c>
      <c r="AE215">
        <f>Table1[[#This Row],[total_price]]/Table1[[#This Row],[qty]]</f>
        <v>169.49166666666667</v>
      </c>
      <c r="AF215">
        <f t="shared" si="3"/>
        <v>157.99</v>
      </c>
      <c r="AG215">
        <f>IF(ROW()=2, "", AVERAGE(D$2:D214))</f>
        <v>16.55399061032864</v>
      </c>
    </row>
    <row r="216" spans="1:33" x14ac:dyDescent="0.25">
      <c r="A216" t="s">
        <v>54</v>
      </c>
      <c r="B216" t="s">
        <v>55</v>
      </c>
      <c r="C216" s="1">
        <v>42743</v>
      </c>
      <c r="D216">
        <v>5</v>
      </c>
      <c r="E216">
        <v>849.5</v>
      </c>
      <c r="F216">
        <v>17.084</v>
      </c>
      <c r="G216">
        <v>169.9</v>
      </c>
      <c r="H216">
        <v>35</v>
      </c>
      <c r="I216">
        <v>591</v>
      </c>
      <c r="J216">
        <v>3</v>
      </c>
      <c r="K216">
        <v>444</v>
      </c>
      <c r="L216">
        <v>4</v>
      </c>
      <c r="M216">
        <v>48</v>
      </c>
      <c r="N216">
        <v>23</v>
      </c>
      <c r="O216">
        <v>8</v>
      </c>
      <c r="P216">
        <v>1</v>
      </c>
      <c r="Q216">
        <v>8</v>
      </c>
      <c r="R216">
        <v>2017</v>
      </c>
      <c r="S216">
        <v>5.4617117119999996</v>
      </c>
      <c r="T216">
        <v>4480</v>
      </c>
      <c r="U216">
        <v>160.66923080000001</v>
      </c>
      <c r="V216">
        <v>4.2</v>
      </c>
      <c r="W216">
        <v>15.185384620000001</v>
      </c>
      <c r="X216">
        <v>169.9</v>
      </c>
      <c r="Y216">
        <v>4</v>
      </c>
      <c r="Z216">
        <v>17.084</v>
      </c>
      <c r="AA216">
        <v>179.9</v>
      </c>
      <c r="AB216">
        <v>3.8</v>
      </c>
      <c r="AC216">
        <v>14.926666669999999</v>
      </c>
      <c r="AD216">
        <v>171.792</v>
      </c>
      <c r="AE216">
        <f>Table1[[#This Row],[total_price]]/Table1[[#This Row],[qty]]</f>
        <v>169.9</v>
      </c>
      <c r="AF216">
        <f t="shared" si="3"/>
        <v>169.49166666666667</v>
      </c>
      <c r="AG216">
        <f>IF(ROW()=2, "", AVERAGE(D$2:D215))</f>
        <v>16.504672897196262</v>
      </c>
    </row>
    <row r="217" spans="1:33" x14ac:dyDescent="0.25">
      <c r="A217" t="s">
        <v>54</v>
      </c>
      <c r="B217" t="s">
        <v>55</v>
      </c>
      <c r="C217" s="1">
        <v>42744</v>
      </c>
      <c r="D217">
        <v>10</v>
      </c>
      <c r="E217">
        <v>1604</v>
      </c>
      <c r="F217">
        <v>17.856000000000002</v>
      </c>
      <c r="G217">
        <v>160.4</v>
      </c>
      <c r="H217">
        <v>35</v>
      </c>
      <c r="I217">
        <v>591</v>
      </c>
      <c r="J217">
        <v>3</v>
      </c>
      <c r="K217">
        <v>444</v>
      </c>
      <c r="L217">
        <v>4</v>
      </c>
      <c r="M217">
        <v>54</v>
      </c>
      <c r="N217">
        <v>21</v>
      </c>
      <c r="O217">
        <v>9</v>
      </c>
      <c r="P217">
        <v>1</v>
      </c>
      <c r="Q217">
        <v>9</v>
      </c>
      <c r="R217">
        <v>2017</v>
      </c>
      <c r="S217">
        <v>13.513513509999999</v>
      </c>
      <c r="T217">
        <v>4480</v>
      </c>
      <c r="U217">
        <v>148.7785714</v>
      </c>
      <c r="V217">
        <v>4.2</v>
      </c>
      <c r="W217">
        <v>14.041111109999999</v>
      </c>
      <c r="X217">
        <v>160.4</v>
      </c>
      <c r="Y217">
        <v>4</v>
      </c>
      <c r="Z217">
        <v>17.856000000000002</v>
      </c>
      <c r="AA217">
        <v>164.57</v>
      </c>
      <c r="AB217">
        <v>3.8</v>
      </c>
      <c r="AC217">
        <v>19.527999999999999</v>
      </c>
      <c r="AD217">
        <v>169.9</v>
      </c>
      <c r="AE217">
        <f>Table1[[#This Row],[total_price]]/Table1[[#This Row],[qty]]</f>
        <v>160.4</v>
      </c>
      <c r="AF217">
        <f t="shared" si="3"/>
        <v>169.9</v>
      </c>
      <c r="AG217">
        <f>IF(ROW()=2, "", AVERAGE(D$2:D216))</f>
        <v>16.451162790697673</v>
      </c>
    </row>
    <row r="218" spans="1:33" x14ac:dyDescent="0.25">
      <c r="A218" t="s">
        <v>54</v>
      </c>
      <c r="B218" t="s">
        <v>55</v>
      </c>
      <c r="C218" s="1">
        <v>42745</v>
      </c>
      <c r="D218">
        <v>16</v>
      </c>
      <c r="E218">
        <v>2391.6</v>
      </c>
      <c r="F218">
        <v>18.505624999999998</v>
      </c>
      <c r="G218">
        <v>149.47499999999999</v>
      </c>
      <c r="H218">
        <v>35</v>
      </c>
      <c r="I218">
        <v>591</v>
      </c>
      <c r="J218">
        <v>3</v>
      </c>
      <c r="K218">
        <v>444</v>
      </c>
      <c r="L218">
        <v>4</v>
      </c>
      <c r="M218">
        <v>43</v>
      </c>
      <c r="N218">
        <v>22</v>
      </c>
      <c r="O218">
        <v>9</v>
      </c>
      <c r="P218">
        <v>2</v>
      </c>
      <c r="Q218">
        <v>10</v>
      </c>
      <c r="R218">
        <v>2017</v>
      </c>
      <c r="S218">
        <v>21.621621619999999</v>
      </c>
      <c r="T218">
        <v>4480</v>
      </c>
      <c r="U218">
        <v>134.9</v>
      </c>
      <c r="V218">
        <v>4.2</v>
      </c>
      <c r="W218">
        <v>6.81</v>
      </c>
      <c r="X218">
        <v>149.47499999999999</v>
      </c>
      <c r="Y218">
        <v>4</v>
      </c>
      <c r="Z218">
        <v>18.505624999999998</v>
      </c>
      <c r="AA218">
        <v>232.49</v>
      </c>
      <c r="AB218">
        <v>3.8</v>
      </c>
      <c r="AC218">
        <v>14.2125</v>
      </c>
      <c r="AD218">
        <v>160.4</v>
      </c>
      <c r="AE218">
        <f>Table1[[#This Row],[total_price]]/Table1[[#This Row],[qty]]</f>
        <v>149.47499999999999</v>
      </c>
      <c r="AF218">
        <f t="shared" si="3"/>
        <v>160.4</v>
      </c>
      <c r="AG218">
        <f>IF(ROW()=2, "", AVERAGE(D$2:D217))</f>
        <v>16.421296296296298</v>
      </c>
    </row>
    <row r="219" spans="1:33" x14ac:dyDescent="0.25">
      <c r="A219" t="s">
        <v>54</v>
      </c>
      <c r="B219" t="s">
        <v>55</v>
      </c>
      <c r="C219" s="1">
        <v>42746</v>
      </c>
      <c r="D219">
        <v>26</v>
      </c>
      <c r="E219">
        <v>3660</v>
      </c>
      <c r="F219">
        <v>19.17230769</v>
      </c>
      <c r="G219">
        <v>140.56</v>
      </c>
      <c r="H219">
        <v>35</v>
      </c>
      <c r="I219">
        <v>591</v>
      </c>
      <c r="J219">
        <v>3</v>
      </c>
      <c r="K219">
        <v>444</v>
      </c>
      <c r="L219">
        <v>4</v>
      </c>
      <c r="M219">
        <v>91</v>
      </c>
      <c r="N219">
        <v>22</v>
      </c>
      <c r="O219">
        <v>8</v>
      </c>
      <c r="P219">
        <v>4</v>
      </c>
      <c r="Q219">
        <v>11</v>
      </c>
      <c r="R219">
        <v>2017</v>
      </c>
      <c r="S219">
        <v>35.135135140000003</v>
      </c>
      <c r="T219">
        <v>4480</v>
      </c>
      <c r="U219">
        <v>133</v>
      </c>
      <c r="V219">
        <v>4.2</v>
      </c>
      <c r="W219">
        <v>19.916666670000001</v>
      </c>
      <c r="X219">
        <v>108</v>
      </c>
      <c r="Y219">
        <v>4.2</v>
      </c>
      <c r="Z219">
        <v>15.908461539999999</v>
      </c>
      <c r="AA219">
        <v>174.43333329999999</v>
      </c>
      <c r="AB219">
        <v>3.8</v>
      </c>
      <c r="AC219">
        <v>20.992777780000001</v>
      </c>
      <c r="AD219">
        <v>149.47499999999999</v>
      </c>
      <c r="AE219">
        <f>Table1[[#This Row],[total_price]]/Table1[[#This Row],[qty]]</f>
        <v>140.76923076923077</v>
      </c>
      <c r="AF219">
        <f t="shared" si="3"/>
        <v>149.47499999999999</v>
      </c>
      <c r="AG219">
        <f>IF(ROW()=2, "", AVERAGE(D$2:D218))</f>
        <v>16.419354838709676</v>
      </c>
    </row>
    <row r="220" spans="1:33" x14ac:dyDescent="0.25">
      <c r="A220" t="s">
        <v>54</v>
      </c>
      <c r="B220" t="s">
        <v>55</v>
      </c>
      <c r="C220" s="1">
        <v>42747</v>
      </c>
      <c r="D220">
        <v>6</v>
      </c>
      <c r="E220">
        <v>894</v>
      </c>
      <c r="F220">
        <v>17.00333333</v>
      </c>
      <c r="G220">
        <v>149</v>
      </c>
      <c r="H220">
        <v>35</v>
      </c>
      <c r="I220">
        <v>591</v>
      </c>
      <c r="J220">
        <v>3</v>
      </c>
      <c r="K220">
        <v>444</v>
      </c>
      <c r="L220">
        <v>4</v>
      </c>
      <c r="M220">
        <v>73</v>
      </c>
      <c r="N220">
        <v>21</v>
      </c>
      <c r="O220">
        <v>10</v>
      </c>
      <c r="P220">
        <v>1</v>
      </c>
      <c r="Q220">
        <v>12</v>
      </c>
      <c r="R220">
        <v>2017</v>
      </c>
      <c r="S220">
        <v>8.1081081079999997</v>
      </c>
      <c r="T220">
        <v>4480</v>
      </c>
      <c r="U220">
        <v>149</v>
      </c>
      <c r="V220">
        <v>4.2</v>
      </c>
      <c r="W220">
        <v>19.100000000000001</v>
      </c>
      <c r="X220">
        <v>108</v>
      </c>
      <c r="Y220">
        <v>4.2</v>
      </c>
      <c r="Z220">
        <v>16.65384615</v>
      </c>
      <c r="AA220">
        <v>185.96</v>
      </c>
      <c r="AB220">
        <v>3.8</v>
      </c>
      <c r="AC220">
        <v>18.686</v>
      </c>
      <c r="AD220">
        <v>140.56</v>
      </c>
      <c r="AE220">
        <f>Table1[[#This Row],[total_price]]/Table1[[#This Row],[qty]]</f>
        <v>149</v>
      </c>
      <c r="AF220">
        <f t="shared" si="3"/>
        <v>140.76923076923077</v>
      </c>
      <c r="AG220">
        <f>IF(ROW()=2, "", AVERAGE(D$2:D219))</f>
        <v>16.463302752293579</v>
      </c>
    </row>
    <row r="221" spans="1:33" x14ac:dyDescent="0.25">
      <c r="A221" t="s">
        <v>54</v>
      </c>
      <c r="B221" t="s">
        <v>55</v>
      </c>
      <c r="C221" s="1">
        <v>43101</v>
      </c>
      <c r="D221">
        <v>8</v>
      </c>
      <c r="E221">
        <v>1188</v>
      </c>
      <c r="F221">
        <v>14.164999999999999</v>
      </c>
      <c r="G221">
        <v>148.5</v>
      </c>
      <c r="H221">
        <v>35</v>
      </c>
      <c r="I221">
        <v>591</v>
      </c>
      <c r="J221">
        <v>3</v>
      </c>
      <c r="K221">
        <v>444</v>
      </c>
      <c r="L221">
        <v>4</v>
      </c>
      <c r="M221">
        <v>59</v>
      </c>
      <c r="N221">
        <v>23</v>
      </c>
      <c r="O221">
        <v>8</v>
      </c>
      <c r="P221">
        <v>2</v>
      </c>
      <c r="Q221">
        <v>1</v>
      </c>
      <c r="R221">
        <v>2018</v>
      </c>
      <c r="S221">
        <v>11.11111111</v>
      </c>
      <c r="T221">
        <v>4480</v>
      </c>
      <c r="U221">
        <v>148.5</v>
      </c>
      <c r="V221">
        <v>4</v>
      </c>
      <c r="W221">
        <v>14.164999999999999</v>
      </c>
      <c r="X221">
        <v>108</v>
      </c>
      <c r="Y221">
        <v>4.2</v>
      </c>
      <c r="Z221">
        <v>16.196363640000001</v>
      </c>
      <c r="AA221">
        <v>199</v>
      </c>
      <c r="AB221">
        <v>3.8</v>
      </c>
      <c r="AC221">
        <v>21.88</v>
      </c>
      <c r="AD221">
        <v>149</v>
      </c>
      <c r="AE221">
        <f>Table1[[#This Row],[total_price]]/Table1[[#This Row],[qty]]</f>
        <v>148.5</v>
      </c>
      <c r="AF221">
        <f t="shared" si="3"/>
        <v>149</v>
      </c>
      <c r="AG221">
        <f>IF(ROW()=2, "", AVERAGE(D$2:D220))</f>
        <v>16.415525114155251</v>
      </c>
    </row>
    <row r="222" spans="1:33" x14ac:dyDescent="0.25">
      <c r="A222" t="s">
        <v>54</v>
      </c>
      <c r="B222" t="s">
        <v>55</v>
      </c>
      <c r="C222" s="1">
        <v>43102</v>
      </c>
      <c r="D222">
        <v>14</v>
      </c>
      <c r="E222">
        <v>2043.92</v>
      </c>
      <c r="F222">
        <v>15.12928571</v>
      </c>
      <c r="G222">
        <v>145.99428570000001</v>
      </c>
      <c r="H222">
        <v>35</v>
      </c>
      <c r="I222">
        <v>591</v>
      </c>
      <c r="J222">
        <v>3</v>
      </c>
      <c r="K222">
        <v>444</v>
      </c>
      <c r="L222">
        <v>4</v>
      </c>
      <c r="M222">
        <v>90</v>
      </c>
      <c r="N222">
        <v>20</v>
      </c>
      <c r="O222">
        <v>8</v>
      </c>
      <c r="P222">
        <v>2</v>
      </c>
      <c r="Q222">
        <v>2</v>
      </c>
      <c r="R222">
        <v>2018</v>
      </c>
      <c r="S222">
        <v>19.444444440000002</v>
      </c>
      <c r="T222">
        <v>4480</v>
      </c>
      <c r="U222">
        <v>128.2416667</v>
      </c>
      <c r="V222">
        <v>4.2</v>
      </c>
      <c r="W222">
        <v>15.926666669999999</v>
      </c>
      <c r="X222">
        <v>108</v>
      </c>
      <c r="Y222">
        <v>4.2</v>
      </c>
      <c r="Z222">
        <v>18.253636360000002</v>
      </c>
      <c r="AA222">
        <v>182</v>
      </c>
      <c r="AB222">
        <v>3.8</v>
      </c>
      <c r="AC222">
        <v>19.329999999999998</v>
      </c>
      <c r="AD222">
        <v>148.5</v>
      </c>
      <c r="AE222">
        <f>Table1[[#This Row],[total_price]]/Table1[[#This Row],[qty]]</f>
        <v>145.99428571428572</v>
      </c>
      <c r="AF222">
        <f t="shared" si="3"/>
        <v>148.5</v>
      </c>
      <c r="AG222">
        <f>IF(ROW()=2, "", AVERAGE(D$2:D221))</f>
        <v>16.377272727272729</v>
      </c>
    </row>
    <row r="223" spans="1:33" x14ac:dyDescent="0.25">
      <c r="A223" t="s">
        <v>54</v>
      </c>
      <c r="B223" t="s">
        <v>55</v>
      </c>
      <c r="C223" s="1">
        <v>43103</v>
      </c>
      <c r="D223">
        <v>9</v>
      </c>
      <c r="E223">
        <v>1115.7</v>
      </c>
      <c r="F223">
        <v>26.27222222</v>
      </c>
      <c r="G223">
        <v>123.9666667</v>
      </c>
      <c r="H223">
        <v>35</v>
      </c>
      <c r="I223">
        <v>591</v>
      </c>
      <c r="J223">
        <v>3</v>
      </c>
      <c r="K223">
        <v>444</v>
      </c>
      <c r="L223">
        <v>4</v>
      </c>
      <c r="M223">
        <v>125</v>
      </c>
      <c r="N223">
        <v>22</v>
      </c>
      <c r="O223">
        <v>9</v>
      </c>
      <c r="P223">
        <v>1</v>
      </c>
      <c r="Q223">
        <v>3</v>
      </c>
      <c r="R223">
        <v>2018</v>
      </c>
      <c r="S223">
        <v>12.5</v>
      </c>
      <c r="T223">
        <v>4480</v>
      </c>
      <c r="U223">
        <v>117.44129030000001</v>
      </c>
      <c r="V223">
        <v>4.2</v>
      </c>
      <c r="W223">
        <v>18.261290320000001</v>
      </c>
      <c r="X223">
        <v>105.6428571</v>
      </c>
      <c r="Y223">
        <v>4.2</v>
      </c>
      <c r="Z223">
        <v>21.6652381</v>
      </c>
      <c r="AA223">
        <v>151.87843749999999</v>
      </c>
      <c r="AB223">
        <v>3.8</v>
      </c>
      <c r="AC223">
        <v>20.313749999999999</v>
      </c>
      <c r="AD223">
        <v>145.99428570000001</v>
      </c>
      <c r="AE223">
        <f>Table1[[#This Row],[total_price]]/Table1[[#This Row],[qty]]</f>
        <v>123.96666666666667</v>
      </c>
      <c r="AF223">
        <f t="shared" si="3"/>
        <v>145.99428571428572</v>
      </c>
      <c r="AG223">
        <f>IF(ROW()=2, "", AVERAGE(D$2:D222))</f>
        <v>16.366515837104071</v>
      </c>
    </row>
    <row r="224" spans="1:33" x14ac:dyDescent="0.25">
      <c r="A224" t="s">
        <v>54</v>
      </c>
      <c r="B224" t="s">
        <v>55</v>
      </c>
      <c r="C224" s="1">
        <v>43104</v>
      </c>
      <c r="D224">
        <v>10</v>
      </c>
      <c r="E224">
        <v>1191.9000000000001</v>
      </c>
      <c r="F224">
        <v>21.228999999999999</v>
      </c>
      <c r="G224">
        <v>119.19</v>
      </c>
      <c r="H224">
        <v>35</v>
      </c>
      <c r="I224">
        <v>591</v>
      </c>
      <c r="J224">
        <v>3</v>
      </c>
      <c r="K224">
        <v>444</v>
      </c>
      <c r="L224">
        <v>4</v>
      </c>
      <c r="M224">
        <v>178</v>
      </c>
      <c r="N224">
        <v>21</v>
      </c>
      <c r="O224">
        <v>9</v>
      </c>
      <c r="P224">
        <v>1</v>
      </c>
      <c r="Q224">
        <v>4</v>
      </c>
      <c r="R224">
        <v>2018</v>
      </c>
      <c r="S224">
        <v>13.88888889</v>
      </c>
      <c r="T224">
        <v>4480</v>
      </c>
      <c r="U224">
        <v>105.648625</v>
      </c>
      <c r="V224">
        <v>4.2</v>
      </c>
      <c r="W224">
        <v>2.1816470589999999</v>
      </c>
      <c r="X224">
        <v>105</v>
      </c>
      <c r="Y224">
        <v>4.2</v>
      </c>
      <c r="Z224">
        <v>13.631428570000001</v>
      </c>
      <c r="AA224">
        <v>150.1333333</v>
      </c>
      <c r="AB224">
        <v>3.8</v>
      </c>
      <c r="AC224">
        <v>19.447777779999999</v>
      </c>
      <c r="AD224">
        <v>123.9666667</v>
      </c>
      <c r="AE224">
        <f>Table1[[#This Row],[total_price]]/Table1[[#This Row],[qty]]</f>
        <v>119.19000000000001</v>
      </c>
      <c r="AF224">
        <f t="shared" si="3"/>
        <v>123.96666666666667</v>
      </c>
      <c r="AG224">
        <f>IF(ROW()=2, "", AVERAGE(D$2:D223))</f>
        <v>16.333333333333332</v>
      </c>
    </row>
    <row r="225" spans="1:33" x14ac:dyDescent="0.25">
      <c r="A225" t="s">
        <v>54</v>
      </c>
      <c r="B225" t="s">
        <v>55</v>
      </c>
      <c r="C225" s="1">
        <v>43105</v>
      </c>
      <c r="D225">
        <v>22</v>
      </c>
      <c r="E225">
        <v>2598.9</v>
      </c>
      <c r="F225">
        <v>14.71227273</v>
      </c>
      <c r="G225">
        <v>118.1318182</v>
      </c>
      <c r="H225">
        <v>35</v>
      </c>
      <c r="I225">
        <v>591</v>
      </c>
      <c r="J225">
        <v>3</v>
      </c>
      <c r="K225">
        <v>444</v>
      </c>
      <c r="L225">
        <v>4</v>
      </c>
      <c r="M225">
        <v>260</v>
      </c>
      <c r="N225">
        <v>23</v>
      </c>
      <c r="O225">
        <v>8</v>
      </c>
      <c r="P225">
        <v>3</v>
      </c>
      <c r="Q225">
        <v>5</v>
      </c>
      <c r="R225">
        <v>2018</v>
      </c>
      <c r="S225">
        <v>30.555555559999998</v>
      </c>
      <c r="T225">
        <v>4480</v>
      </c>
      <c r="U225">
        <v>103.79252339999999</v>
      </c>
      <c r="V225">
        <v>4.2</v>
      </c>
      <c r="W225">
        <v>9.5438596000000001E-2</v>
      </c>
      <c r="X225">
        <v>105</v>
      </c>
      <c r="Y225">
        <v>4.2</v>
      </c>
      <c r="Z225">
        <v>11.3772973</v>
      </c>
      <c r="AA225">
        <v>132.53125</v>
      </c>
      <c r="AB225">
        <v>3.8</v>
      </c>
      <c r="AC225">
        <v>15.7621875</v>
      </c>
      <c r="AD225">
        <v>119.19</v>
      </c>
      <c r="AE225">
        <f>Table1[[#This Row],[total_price]]/Table1[[#This Row],[qty]]</f>
        <v>118.13181818181819</v>
      </c>
      <c r="AF225">
        <f t="shared" si="3"/>
        <v>119.19000000000001</v>
      </c>
      <c r="AG225">
        <f>IF(ROW()=2, "", AVERAGE(D$2:D224))</f>
        <v>16.304932735426011</v>
      </c>
    </row>
    <row r="226" spans="1:33" x14ac:dyDescent="0.25">
      <c r="A226" t="s">
        <v>54</v>
      </c>
      <c r="B226" t="s">
        <v>55</v>
      </c>
      <c r="C226" s="1">
        <v>43106</v>
      </c>
      <c r="D226">
        <v>1</v>
      </c>
      <c r="E226">
        <v>139.9</v>
      </c>
      <c r="F226">
        <v>18.86</v>
      </c>
      <c r="G226">
        <v>139.9</v>
      </c>
      <c r="H226">
        <v>35</v>
      </c>
      <c r="I226">
        <v>591</v>
      </c>
      <c r="J226">
        <v>3</v>
      </c>
      <c r="K226">
        <v>444</v>
      </c>
      <c r="L226">
        <v>4</v>
      </c>
      <c r="M226">
        <v>93</v>
      </c>
      <c r="N226">
        <v>21</v>
      </c>
      <c r="O226">
        <v>9</v>
      </c>
      <c r="P226">
        <v>0</v>
      </c>
      <c r="Q226">
        <v>6</v>
      </c>
      <c r="R226">
        <v>2018</v>
      </c>
      <c r="S226">
        <v>4.0728228230000001</v>
      </c>
      <c r="T226">
        <v>4480</v>
      </c>
      <c r="U226">
        <v>119</v>
      </c>
      <c r="V226">
        <v>4.2</v>
      </c>
      <c r="W226">
        <v>19.206666670000001</v>
      </c>
      <c r="X226">
        <v>105</v>
      </c>
      <c r="Y226">
        <v>4.2</v>
      </c>
      <c r="Z226">
        <v>23.823571430000001</v>
      </c>
      <c r="AA226">
        <v>138.22</v>
      </c>
      <c r="AB226">
        <v>3.8</v>
      </c>
      <c r="AC226">
        <v>16.108000000000001</v>
      </c>
      <c r="AD226">
        <v>118.1318182</v>
      </c>
      <c r="AE226">
        <f>Table1[[#This Row],[total_price]]/Table1[[#This Row],[qty]]</f>
        <v>139.9</v>
      </c>
      <c r="AF226">
        <f t="shared" si="3"/>
        <v>118.13181818181819</v>
      </c>
      <c r="AG226">
        <f>IF(ROW()=2, "", AVERAGE(D$2:D225))</f>
        <v>16.330357142857142</v>
      </c>
    </row>
    <row r="227" spans="1:33" x14ac:dyDescent="0.25">
      <c r="A227" t="s">
        <v>54</v>
      </c>
      <c r="B227" t="s">
        <v>55</v>
      </c>
      <c r="C227" s="1">
        <v>43107</v>
      </c>
      <c r="D227">
        <v>5</v>
      </c>
      <c r="E227">
        <v>694.9</v>
      </c>
      <c r="F227">
        <v>23.161999999999999</v>
      </c>
      <c r="G227">
        <v>138.97999999999999</v>
      </c>
      <c r="H227">
        <v>35</v>
      </c>
      <c r="I227">
        <v>591</v>
      </c>
      <c r="J227">
        <v>3</v>
      </c>
      <c r="K227">
        <v>444</v>
      </c>
      <c r="L227">
        <v>4</v>
      </c>
      <c r="M227">
        <v>122</v>
      </c>
      <c r="N227">
        <v>22</v>
      </c>
      <c r="O227">
        <v>9</v>
      </c>
      <c r="P227">
        <v>1</v>
      </c>
      <c r="Q227">
        <v>7</v>
      </c>
      <c r="R227">
        <v>2018</v>
      </c>
      <c r="S227">
        <v>7.5262762759999999</v>
      </c>
      <c r="T227">
        <v>4480</v>
      </c>
      <c r="U227">
        <v>118.3636364</v>
      </c>
      <c r="V227">
        <v>4.2</v>
      </c>
      <c r="W227">
        <v>15.48</v>
      </c>
      <c r="X227">
        <v>105</v>
      </c>
      <c r="Y227">
        <v>4.2</v>
      </c>
      <c r="Z227">
        <v>24.938749999999999</v>
      </c>
      <c r="AA227">
        <v>155</v>
      </c>
      <c r="AB227">
        <v>3.8</v>
      </c>
      <c r="AC227">
        <v>16.47</v>
      </c>
      <c r="AD227">
        <v>139.9</v>
      </c>
      <c r="AE227">
        <f>Table1[[#This Row],[total_price]]/Table1[[#This Row],[qty]]</f>
        <v>138.97999999999999</v>
      </c>
      <c r="AF227">
        <f t="shared" si="3"/>
        <v>139.9</v>
      </c>
      <c r="AG227">
        <f>IF(ROW()=2, "", AVERAGE(D$2:D226))</f>
        <v>16.262222222222221</v>
      </c>
    </row>
    <row r="228" spans="1:33" x14ac:dyDescent="0.25">
      <c r="A228" t="s">
        <v>54</v>
      </c>
      <c r="B228" t="s">
        <v>55</v>
      </c>
      <c r="C228" s="1">
        <v>43108</v>
      </c>
      <c r="D228">
        <v>3</v>
      </c>
      <c r="E228">
        <v>414</v>
      </c>
      <c r="F228">
        <v>23.526666670000001</v>
      </c>
      <c r="G228">
        <v>138</v>
      </c>
      <c r="H228">
        <v>35</v>
      </c>
      <c r="I228">
        <v>591</v>
      </c>
      <c r="J228">
        <v>3</v>
      </c>
      <c r="K228">
        <v>444</v>
      </c>
      <c r="L228">
        <v>4</v>
      </c>
      <c r="M228">
        <v>61</v>
      </c>
      <c r="N228">
        <v>23</v>
      </c>
      <c r="O228">
        <v>8</v>
      </c>
      <c r="P228">
        <v>1</v>
      </c>
      <c r="Q228">
        <v>8</v>
      </c>
      <c r="R228">
        <v>2018</v>
      </c>
      <c r="S228">
        <v>5.4617117119999996</v>
      </c>
      <c r="T228">
        <v>4480</v>
      </c>
      <c r="U228">
        <v>112</v>
      </c>
      <c r="V228">
        <v>4.2</v>
      </c>
      <c r="W228">
        <v>13.44</v>
      </c>
      <c r="X228">
        <v>105</v>
      </c>
      <c r="Y228">
        <v>4.2</v>
      </c>
      <c r="Z228">
        <v>23.385714289999999</v>
      </c>
      <c r="AA228">
        <v>145.55090910000001</v>
      </c>
      <c r="AB228">
        <v>3.8</v>
      </c>
      <c r="AC228">
        <v>21.897272730000001</v>
      </c>
      <c r="AD228">
        <v>138.97999999999999</v>
      </c>
      <c r="AE228">
        <f>Table1[[#This Row],[total_price]]/Table1[[#This Row],[qty]]</f>
        <v>138</v>
      </c>
      <c r="AF228">
        <f t="shared" si="3"/>
        <v>138.97999999999999</v>
      </c>
      <c r="AG228">
        <f>IF(ROW()=2, "", AVERAGE(D$2:D227))</f>
        <v>16.212389380530972</v>
      </c>
    </row>
    <row r="229" spans="1:33" x14ac:dyDescent="0.25">
      <c r="A229" t="s">
        <v>56</v>
      </c>
      <c r="B229" t="s">
        <v>38</v>
      </c>
      <c r="C229" s="1">
        <v>42743</v>
      </c>
      <c r="D229">
        <v>3</v>
      </c>
      <c r="E229">
        <v>254.97</v>
      </c>
      <c r="F229">
        <v>15.57</v>
      </c>
      <c r="G229">
        <v>84.99</v>
      </c>
      <c r="H229">
        <v>49</v>
      </c>
      <c r="I229">
        <v>1495</v>
      </c>
      <c r="J229">
        <v>3</v>
      </c>
      <c r="K229">
        <v>600</v>
      </c>
      <c r="L229">
        <v>3.8</v>
      </c>
      <c r="M229">
        <v>82</v>
      </c>
      <c r="N229">
        <v>23</v>
      </c>
      <c r="O229">
        <v>8</v>
      </c>
      <c r="P229">
        <v>1</v>
      </c>
      <c r="Q229">
        <v>8</v>
      </c>
      <c r="R229">
        <v>2017</v>
      </c>
      <c r="S229">
        <v>3.125</v>
      </c>
      <c r="T229">
        <v>8151</v>
      </c>
      <c r="U229">
        <v>23.39740741</v>
      </c>
      <c r="V229">
        <v>4.3</v>
      </c>
      <c r="W229">
        <v>14.27678571</v>
      </c>
      <c r="X229">
        <v>89.99</v>
      </c>
      <c r="Y229">
        <v>4.0999999999999996</v>
      </c>
      <c r="Z229">
        <v>13.410555560000001</v>
      </c>
      <c r="AA229">
        <v>58.99</v>
      </c>
      <c r="AB229">
        <v>3.9</v>
      </c>
      <c r="AC229">
        <v>16.240909089999999</v>
      </c>
      <c r="AD229">
        <v>84.94</v>
      </c>
      <c r="AE229">
        <f>Table1[[#This Row],[total_price]]/Table1[[#This Row],[qty]]</f>
        <v>84.99</v>
      </c>
      <c r="AF229" t="str">
        <f t="shared" si="3"/>
        <v/>
      </c>
      <c r="AG229">
        <f>IF(ROW()=2, "", AVERAGE(D$2:D228))</f>
        <v>16.154185022026432</v>
      </c>
    </row>
    <row r="230" spans="1:33" x14ac:dyDescent="0.25">
      <c r="A230" t="s">
        <v>56</v>
      </c>
      <c r="B230" t="s">
        <v>38</v>
      </c>
      <c r="C230" s="1">
        <v>42744</v>
      </c>
      <c r="D230">
        <v>4</v>
      </c>
      <c r="E230">
        <v>339.96</v>
      </c>
      <c r="F230">
        <v>15.6</v>
      </c>
      <c r="G230">
        <v>84.99</v>
      </c>
      <c r="H230">
        <v>49</v>
      </c>
      <c r="I230">
        <v>1495</v>
      </c>
      <c r="J230">
        <v>3</v>
      </c>
      <c r="K230">
        <v>600</v>
      </c>
      <c r="L230">
        <v>3.8</v>
      </c>
      <c r="M230">
        <v>89</v>
      </c>
      <c r="N230">
        <v>21</v>
      </c>
      <c r="O230">
        <v>9</v>
      </c>
      <c r="P230">
        <v>1</v>
      </c>
      <c r="Q230">
        <v>9</v>
      </c>
      <c r="R230">
        <v>2017</v>
      </c>
      <c r="S230">
        <v>4.1666666670000003</v>
      </c>
      <c r="T230">
        <v>8151</v>
      </c>
      <c r="U230">
        <v>23.99</v>
      </c>
      <c r="V230">
        <v>4.3</v>
      </c>
      <c r="W230">
        <v>16.12</v>
      </c>
      <c r="X230">
        <v>89.99</v>
      </c>
      <c r="Y230">
        <v>4.0999999999999996</v>
      </c>
      <c r="Z230">
        <v>13.96428571</v>
      </c>
      <c r="AA230">
        <v>58.99</v>
      </c>
      <c r="AB230">
        <v>3.9</v>
      </c>
      <c r="AC230">
        <v>15.639200000000001</v>
      </c>
      <c r="AD230">
        <v>84.99</v>
      </c>
      <c r="AE230">
        <f>Table1[[#This Row],[total_price]]/Table1[[#This Row],[qty]]</f>
        <v>84.99</v>
      </c>
      <c r="AF230">
        <f t="shared" si="3"/>
        <v>84.99</v>
      </c>
      <c r="AG230">
        <f>IF(ROW()=2, "", AVERAGE(D$2:D229))</f>
        <v>16.096491228070175</v>
      </c>
    </row>
    <row r="231" spans="1:33" x14ac:dyDescent="0.25">
      <c r="A231" t="s">
        <v>56</v>
      </c>
      <c r="B231" t="s">
        <v>38</v>
      </c>
      <c r="C231" s="1">
        <v>42745</v>
      </c>
      <c r="D231">
        <v>3</v>
      </c>
      <c r="E231">
        <v>254.97</v>
      </c>
      <c r="F231">
        <v>19.61</v>
      </c>
      <c r="G231">
        <v>84.99</v>
      </c>
      <c r="H231">
        <v>49</v>
      </c>
      <c r="I231">
        <v>1495</v>
      </c>
      <c r="J231">
        <v>3</v>
      </c>
      <c r="K231">
        <v>600</v>
      </c>
      <c r="L231">
        <v>3.8</v>
      </c>
      <c r="M231">
        <v>81</v>
      </c>
      <c r="N231">
        <v>22</v>
      </c>
      <c r="O231">
        <v>9</v>
      </c>
      <c r="P231">
        <v>2</v>
      </c>
      <c r="Q231">
        <v>10</v>
      </c>
      <c r="R231">
        <v>2017</v>
      </c>
      <c r="S231">
        <v>3.125</v>
      </c>
      <c r="T231">
        <v>8151</v>
      </c>
      <c r="U231">
        <v>23.99</v>
      </c>
      <c r="V231">
        <v>4.3</v>
      </c>
      <c r="W231">
        <v>13.13666667</v>
      </c>
      <c r="X231">
        <v>89.99</v>
      </c>
      <c r="Y231">
        <v>4.0999999999999996</v>
      </c>
      <c r="Z231">
        <v>16.56291667</v>
      </c>
      <c r="AA231">
        <v>58.99</v>
      </c>
      <c r="AB231">
        <v>3.9</v>
      </c>
      <c r="AC231">
        <v>19.065263160000001</v>
      </c>
      <c r="AD231">
        <v>84.99</v>
      </c>
      <c r="AE231">
        <f>Table1[[#This Row],[total_price]]/Table1[[#This Row],[qty]]</f>
        <v>84.99</v>
      </c>
      <c r="AF231">
        <f t="shared" si="3"/>
        <v>84.99</v>
      </c>
      <c r="AG231">
        <f>IF(ROW()=2, "", AVERAGE(D$2:D230))</f>
        <v>16.043668122270741</v>
      </c>
    </row>
    <row r="232" spans="1:33" x14ac:dyDescent="0.25">
      <c r="A232" t="s">
        <v>56</v>
      </c>
      <c r="B232" t="s">
        <v>38</v>
      </c>
      <c r="C232" s="1">
        <v>42746</v>
      </c>
      <c r="D232">
        <v>36</v>
      </c>
      <c r="E232">
        <v>3059.64</v>
      </c>
      <c r="F232">
        <v>17.408333330000001</v>
      </c>
      <c r="G232">
        <v>84.99</v>
      </c>
      <c r="H232">
        <v>49</v>
      </c>
      <c r="I232">
        <v>1495</v>
      </c>
      <c r="J232">
        <v>3</v>
      </c>
      <c r="K232">
        <v>600</v>
      </c>
      <c r="L232">
        <v>3.8</v>
      </c>
      <c r="M232">
        <v>139</v>
      </c>
      <c r="N232">
        <v>22</v>
      </c>
      <c r="O232">
        <v>8</v>
      </c>
      <c r="P232">
        <v>4</v>
      </c>
      <c r="Q232">
        <v>11</v>
      </c>
      <c r="R232">
        <v>2017</v>
      </c>
      <c r="S232">
        <v>37.5</v>
      </c>
      <c r="T232">
        <v>8151</v>
      </c>
      <c r="U232">
        <v>23.99</v>
      </c>
      <c r="V232">
        <v>4.3</v>
      </c>
      <c r="W232">
        <v>12.37535714</v>
      </c>
      <c r="X232">
        <v>89.99</v>
      </c>
      <c r="Y232">
        <v>4.0999999999999996</v>
      </c>
      <c r="Z232">
        <v>16.99038462</v>
      </c>
      <c r="AA232">
        <v>58.99</v>
      </c>
      <c r="AB232">
        <v>3.9</v>
      </c>
      <c r="AC232">
        <v>15.71166667</v>
      </c>
      <c r="AD232">
        <v>84.99</v>
      </c>
      <c r="AE232">
        <f>Table1[[#This Row],[total_price]]/Table1[[#This Row],[qty]]</f>
        <v>84.99</v>
      </c>
      <c r="AF232">
        <f t="shared" si="3"/>
        <v>84.99</v>
      </c>
      <c r="AG232">
        <f>IF(ROW()=2, "", AVERAGE(D$2:D231))</f>
        <v>15.986956521739131</v>
      </c>
    </row>
    <row r="233" spans="1:33" x14ac:dyDescent="0.25">
      <c r="A233" t="s">
        <v>56</v>
      </c>
      <c r="B233" t="s">
        <v>38</v>
      </c>
      <c r="C233" s="1">
        <v>42747</v>
      </c>
      <c r="D233">
        <v>50</v>
      </c>
      <c r="E233">
        <v>4249.5</v>
      </c>
      <c r="F233">
        <v>16.244599999999998</v>
      </c>
      <c r="G233">
        <v>84.99</v>
      </c>
      <c r="H233">
        <v>49</v>
      </c>
      <c r="I233">
        <v>1495</v>
      </c>
      <c r="J233">
        <v>3</v>
      </c>
      <c r="K233">
        <v>600</v>
      </c>
      <c r="L233">
        <v>3.8</v>
      </c>
      <c r="M233">
        <v>112</v>
      </c>
      <c r="N233">
        <v>21</v>
      </c>
      <c r="O233">
        <v>10</v>
      </c>
      <c r="P233">
        <v>1</v>
      </c>
      <c r="Q233">
        <v>12</v>
      </c>
      <c r="R233">
        <v>2017</v>
      </c>
      <c r="S233">
        <v>52.083333330000002</v>
      </c>
      <c r="T233">
        <v>8151</v>
      </c>
      <c r="U233">
        <v>23.99</v>
      </c>
      <c r="V233">
        <v>4.3</v>
      </c>
      <c r="W233">
        <v>12.45684211</v>
      </c>
      <c r="X233">
        <v>89.99</v>
      </c>
      <c r="Y233">
        <v>4.0999999999999996</v>
      </c>
      <c r="Z233">
        <v>15.89473684</v>
      </c>
      <c r="AA233">
        <v>58.99</v>
      </c>
      <c r="AB233">
        <v>3.9</v>
      </c>
      <c r="AC233">
        <v>16.332222219999998</v>
      </c>
      <c r="AD233">
        <v>84.99</v>
      </c>
      <c r="AE233">
        <f>Table1[[#This Row],[total_price]]/Table1[[#This Row],[qty]]</f>
        <v>84.99</v>
      </c>
      <c r="AF233">
        <f t="shared" si="3"/>
        <v>84.99</v>
      </c>
      <c r="AG233">
        <f>IF(ROW()=2, "", AVERAGE(D$2:D232))</f>
        <v>16.073593073593074</v>
      </c>
    </row>
    <row r="234" spans="1:33" x14ac:dyDescent="0.25">
      <c r="A234" t="s">
        <v>56</v>
      </c>
      <c r="B234" t="s">
        <v>38</v>
      </c>
      <c r="C234" s="1">
        <v>43101</v>
      </c>
      <c r="D234">
        <v>13</v>
      </c>
      <c r="E234">
        <v>1104.8699999999999</v>
      </c>
      <c r="F234">
        <v>15.996153850000001</v>
      </c>
      <c r="G234">
        <v>84.99</v>
      </c>
      <c r="H234">
        <v>49</v>
      </c>
      <c r="I234">
        <v>1495</v>
      </c>
      <c r="J234">
        <v>3</v>
      </c>
      <c r="K234">
        <v>600</v>
      </c>
      <c r="L234">
        <v>3.8</v>
      </c>
      <c r="M234">
        <v>98</v>
      </c>
      <c r="N234">
        <v>23</v>
      </c>
      <c r="O234">
        <v>8</v>
      </c>
      <c r="P234">
        <v>2</v>
      </c>
      <c r="Q234">
        <v>1</v>
      </c>
      <c r="R234">
        <v>2018</v>
      </c>
      <c r="S234">
        <v>50</v>
      </c>
      <c r="T234">
        <v>8151</v>
      </c>
      <c r="U234">
        <v>23.99</v>
      </c>
      <c r="V234">
        <v>4.3</v>
      </c>
      <c r="W234">
        <v>11.28736842</v>
      </c>
      <c r="X234">
        <v>89.99</v>
      </c>
      <c r="Y234">
        <v>4.0999999999999996</v>
      </c>
      <c r="Z234">
        <v>14.811</v>
      </c>
      <c r="AA234">
        <v>58.99</v>
      </c>
      <c r="AB234">
        <v>3.9</v>
      </c>
      <c r="AC234">
        <v>22.678333330000001</v>
      </c>
      <c r="AD234">
        <v>84.99</v>
      </c>
      <c r="AE234">
        <f>Table1[[#This Row],[total_price]]/Table1[[#This Row],[qty]]</f>
        <v>84.99</v>
      </c>
      <c r="AF234">
        <f t="shared" si="3"/>
        <v>84.99</v>
      </c>
      <c r="AG234">
        <f>IF(ROW()=2, "", AVERAGE(D$2:D233))</f>
        <v>16.219827586206897</v>
      </c>
    </row>
    <row r="235" spans="1:33" x14ac:dyDescent="0.25">
      <c r="A235" t="s">
        <v>56</v>
      </c>
      <c r="B235" t="s">
        <v>38</v>
      </c>
      <c r="C235" s="1">
        <v>43102</v>
      </c>
      <c r="D235">
        <v>7</v>
      </c>
      <c r="E235">
        <v>594.92999999999995</v>
      </c>
      <c r="F235">
        <v>15.86714286</v>
      </c>
      <c r="G235">
        <v>84.99</v>
      </c>
      <c r="H235">
        <v>49</v>
      </c>
      <c r="I235">
        <v>1495</v>
      </c>
      <c r="J235">
        <v>3</v>
      </c>
      <c r="K235">
        <v>600</v>
      </c>
      <c r="L235">
        <v>3.8</v>
      </c>
      <c r="M235">
        <v>126</v>
      </c>
      <c r="N235">
        <v>20</v>
      </c>
      <c r="O235">
        <v>8</v>
      </c>
      <c r="P235">
        <v>2</v>
      </c>
      <c r="Q235">
        <v>2</v>
      </c>
      <c r="R235">
        <v>2018</v>
      </c>
      <c r="S235">
        <v>26.92307692</v>
      </c>
      <c r="T235">
        <v>8151</v>
      </c>
      <c r="U235">
        <v>23.99</v>
      </c>
      <c r="V235">
        <v>4.3</v>
      </c>
      <c r="W235">
        <v>12.55</v>
      </c>
      <c r="X235">
        <v>89.99</v>
      </c>
      <c r="Y235">
        <v>4.0999999999999996</v>
      </c>
      <c r="Z235">
        <v>16.307647060000001</v>
      </c>
      <c r="AA235">
        <v>58.99</v>
      </c>
      <c r="AB235">
        <v>3.9</v>
      </c>
      <c r="AC235">
        <v>19.574999999999999</v>
      </c>
      <c r="AD235">
        <v>84.99</v>
      </c>
      <c r="AE235">
        <f>Table1[[#This Row],[total_price]]/Table1[[#This Row],[qty]]</f>
        <v>84.99</v>
      </c>
      <c r="AF235">
        <f t="shared" si="3"/>
        <v>84.99</v>
      </c>
      <c r="AG235">
        <f>IF(ROW()=2, "", AVERAGE(D$2:D234))</f>
        <v>16.206008583690988</v>
      </c>
    </row>
    <row r="236" spans="1:33" x14ac:dyDescent="0.25">
      <c r="A236" t="s">
        <v>56</v>
      </c>
      <c r="B236" t="s">
        <v>38</v>
      </c>
      <c r="C236" s="1">
        <v>43103</v>
      </c>
      <c r="D236">
        <v>4</v>
      </c>
      <c r="E236">
        <v>339.96</v>
      </c>
      <c r="F236">
        <v>16.375</v>
      </c>
      <c r="G236">
        <v>84.99</v>
      </c>
      <c r="H236">
        <v>49</v>
      </c>
      <c r="I236">
        <v>1495</v>
      </c>
      <c r="J236">
        <v>3</v>
      </c>
      <c r="K236">
        <v>600</v>
      </c>
      <c r="L236">
        <v>3.8</v>
      </c>
      <c r="M236">
        <v>169</v>
      </c>
      <c r="N236">
        <v>22</v>
      </c>
      <c r="O236">
        <v>9</v>
      </c>
      <c r="P236">
        <v>1</v>
      </c>
      <c r="Q236">
        <v>3</v>
      </c>
      <c r="R236">
        <v>2018</v>
      </c>
      <c r="S236">
        <v>15.38461538</v>
      </c>
      <c r="T236">
        <v>8151</v>
      </c>
      <c r="U236">
        <v>23.99</v>
      </c>
      <c r="V236">
        <v>4.3</v>
      </c>
      <c r="W236">
        <v>14.19875</v>
      </c>
      <c r="X236">
        <v>83.74</v>
      </c>
      <c r="Y236">
        <v>4.0999999999999996</v>
      </c>
      <c r="Z236">
        <v>11.876875</v>
      </c>
      <c r="AA236">
        <v>58.99</v>
      </c>
      <c r="AB236">
        <v>3.9</v>
      </c>
      <c r="AC236">
        <v>15.228</v>
      </c>
      <c r="AD236">
        <v>84.99</v>
      </c>
      <c r="AE236">
        <f>Table1[[#This Row],[total_price]]/Table1[[#This Row],[qty]]</f>
        <v>84.99</v>
      </c>
      <c r="AF236">
        <f t="shared" si="3"/>
        <v>84.99</v>
      </c>
      <c r="AG236">
        <f>IF(ROW()=2, "", AVERAGE(D$2:D235))</f>
        <v>16.166666666666668</v>
      </c>
    </row>
    <row r="237" spans="1:33" x14ac:dyDescent="0.25">
      <c r="A237" t="s">
        <v>56</v>
      </c>
      <c r="B237" t="s">
        <v>38</v>
      </c>
      <c r="C237" s="1">
        <v>43106</v>
      </c>
      <c r="D237">
        <v>2</v>
      </c>
      <c r="E237">
        <v>169.98</v>
      </c>
      <c r="F237">
        <v>22.08</v>
      </c>
      <c r="G237">
        <v>84.99</v>
      </c>
      <c r="H237">
        <v>49</v>
      </c>
      <c r="I237">
        <v>1495</v>
      </c>
      <c r="J237">
        <v>3</v>
      </c>
      <c r="K237">
        <v>600</v>
      </c>
      <c r="L237">
        <v>3.8</v>
      </c>
      <c r="M237">
        <v>131</v>
      </c>
      <c r="N237">
        <v>21</v>
      </c>
      <c r="O237">
        <v>9</v>
      </c>
      <c r="P237">
        <v>0</v>
      </c>
      <c r="Q237">
        <v>6</v>
      </c>
      <c r="R237">
        <v>2018</v>
      </c>
      <c r="S237">
        <v>7.692307692</v>
      </c>
      <c r="T237">
        <v>8151</v>
      </c>
      <c r="U237">
        <v>23.99</v>
      </c>
      <c r="V237">
        <v>4.3</v>
      </c>
      <c r="W237">
        <v>16.27</v>
      </c>
      <c r="X237">
        <v>79.989999999999995</v>
      </c>
      <c r="Y237">
        <v>4.0999999999999996</v>
      </c>
      <c r="Z237">
        <v>13.36230769</v>
      </c>
      <c r="AA237">
        <v>58.99</v>
      </c>
      <c r="AB237">
        <v>3.9</v>
      </c>
      <c r="AC237">
        <v>16.43</v>
      </c>
      <c r="AD237">
        <v>84.94</v>
      </c>
      <c r="AE237">
        <f>Table1[[#This Row],[total_price]]/Table1[[#This Row],[qty]]</f>
        <v>84.99</v>
      </c>
      <c r="AF237">
        <f t="shared" si="3"/>
        <v>84.99</v>
      </c>
      <c r="AG237">
        <f>IF(ROW()=2, "", AVERAGE(D$2:D236))</f>
        <v>16.114893617021277</v>
      </c>
    </row>
    <row r="238" spans="1:33" x14ac:dyDescent="0.25">
      <c r="A238" t="s">
        <v>57</v>
      </c>
      <c r="B238" t="s">
        <v>33</v>
      </c>
      <c r="C238" s="1">
        <v>42737</v>
      </c>
      <c r="D238">
        <v>1</v>
      </c>
      <c r="E238">
        <v>179.99</v>
      </c>
      <c r="F238">
        <v>33.54</v>
      </c>
      <c r="G238">
        <v>179.99</v>
      </c>
      <c r="H238">
        <v>33</v>
      </c>
      <c r="I238">
        <v>2188</v>
      </c>
      <c r="J238">
        <v>2</v>
      </c>
      <c r="K238">
        <v>7650</v>
      </c>
      <c r="L238">
        <v>4.2</v>
      </c>
      <c r="M238">
        <v>3</v>
      </c>
      <c r="N238">
        <v>20</v>
      </c>
      <c r="O238">
        <v>8</v>
      </c>
      <c r="P238">
        <v>2</v>
      </c>
      <c r="Q238">
        <v>2</v>
      </c>
      <c r="R238">
        <v>2017</v>
      </c>
      <c r="S238">
        <v>8.942307692</v>
      </c>
      <c r="T238">
        <v>8000</v>
      </c>
      <c r="U238">
        <v>179.99</v>
      </c>
      <c r="V238">
        <v>4.2</v>
      </c>
      <c r="W238">
        <v>33.54</v>
      </c>
      <c r="X238">
        <v>179.99</v>
      </c>
      <c r="Y238">
        <v>4.2</v>
      </c>
      <c r="Z238">
        <v>33.54</v>
      </c>
      <c r="AA238">
        <v>179.99</v>
      </c>
      <c r="AB238">
        <v>4.2</v>
      </c>
      <c r="AC238">
        <v>33.54</v>
      </c>
      <c r="AD238">
        <v>179.94</v>
      </c>
      <c r="AE238">
        <f>Table1[[#This Row],[total_price]]/Table1[[#This Row],[qty]]</f>
        <v>179.99</v>
      </c>
      <c r="AF238" t="str">
        <f t="shared" si="3"/>
        <v/>
      </c>
      <c r="AG238">
        <f>IF(ROW()=2, "", AVERAGE(D$2:D237))</f>
        <v>16.055084745762713</v>
      </c>
    </row>
    <row r="239" spans="1:33" x14ac:dyDescent="0.25">
      <c r="A239" t="s">
        <v>57</v>
      </c>
      <c r="B239" t="s">
        <v>33</v>
      </c>
      <c r="C239" s="1">
        <v>42739</v>
      </c>
      <c r="D239">
        <v>3</v>
      </c>
      <c r="E239">
        <v>539.97</v>
      </c>
      <c r="F239">
        <v>36.643333329999997</v>
      </c>
      <c r="G239">
        <v>179.99</v>
      </c>
      <c r="H239">
        <v>33</v>
      </c>
      <c r="I239">
        <v>2188</v>
      </c>
      <c r="J239">
        <v>2</v>
      </c>
      <c r="K239">
        <v>7650</v>
      </c>
      <c r="L239">
        <v>4.2</v>
      </c>
      <c r="M239">
        <v>17</v>
      </c>
      <c r="N239">
        <v>20</v>
      </c>
      <c r="O239">
        <v>10</v>
      </c>
      <c r="P239">
        <v>2</v>
      </c>
      <c r="Q239">
        <v>4</v>
      </c>
      <c r="R239">
        <v>2017</v>
      </c>
      <c r="S239">
        <v>10.801282049999999</v>
      </c>
      <c r="T239">
        <v>8000</v>
      </c>
      <c r="U239">
        <v>179.99</v>
      </c>
      <c r="V239">
        <v>4.2</v>
      </c>
      <c r="W239">
        <v>36.643333329999997</v>
      </c>
      <c r="X239">
        <v>179.99</v>
      </c>
      <c r="Y239">
        <v>4.2</v>
      </c>
      <c r="Z239">
        <v>36.643333329999997</v>
      </c>
      <c r="AA239">
        <v>179.99</v>
      </c>
      <c r="AB239">
        <v>4.2</v>
      </c>
      <c r="AC239">
        <v>36.643333329999997</v>
      </c>
      <c r="AD239">
        <v>179.94</v>
      </c>
      <c r="AE239">
        <f>Table1[[#This Row],[total_price]]/Table1[[#This Row],[qty]]</f>
        <v>179.99</v>
      </c>
      <c r="AF239">
        <f t="shared" si="3"/>
        <v>179.99</v>
      </c>
      <c r="AG239">
        <f>IF(ROW()=2, "", AVERAGE(D$2:D238))</f>
        <v>15.9915611814346</v>
      </c>
    </row>
    <row r="240" spans="1:33" x14ac:dyDescent="0.25">
      <c r="A240" t="s">
        <v>57</v>
      </c>
      <c r="B240" t="s">
        <v>33</v>
      </c>
      <c r="C240" s="1">
        <v>42744</v>
      </c>
      <c r="D240">
        <v>2</v>
      </c>
      <c r="E240">
        <v>359.98</v>
      </c>
      <c r="F240">
        <v>26.88</v>
      </c>
      <c r="G240">
        <v>179.99</v>
      </c>
      <c r="H240">
        <v>33</v>
      </c>
      <c r="I240">
        <v>2188</v>
      </c>
      <c r="J240">
        <v>2</v>
      </c>
      <c r="K240">
        <v>7650</v>
      </c>
      <c r="L240">
        <v>4.2</v>
      </c>
      <c r="M240">
        <v>115</v>
      </c>
      <c r="N240">
        <v>21</v>
      </c>
      <c r="O240">
        <v>9</v>
      </c>
      <c r="P240">
        <v>1</v>
      </c>
      <c r="Q240">
        <v>9</v>
      </c>
      <c r="R240">
        <v>2017</v>
      </c>
      <c r="S240">
        <v>5</v>
      </c>
      <c r="T240">
        <v>8000</v>
      </c>
      <c r="U240">
        <v>59.9</v>
      </c>
      <c r="V240">
        <v>4.0999999999999996</v>
      </c>
      <c r="W240">
        <v>17.187027029999999</v>
      </c>
      <c r="X240">
        <v>59.9</v>
      </c>
      <c r="Y240">
        <v>4.2</v>
      </c>
      <c r="Z240">
        <v>16.811764709999999</v>
      </c>
      <c r="AA240">
        <v>59.9</v>
      </c>
      <c r="AB240">
        <v>4.0999999999999996</v>
      </c>
      <c r="AC240">
        <v>16.29461538</v>
      </c>
      <c r="AD240">
        <v>179.94</v>
      </c>
      <c r="AE240">
        <f>Table1[[#This Row],[total_price]]/Table1[[#This Row],[qty]]</f>
        <v>179.99</v>
      </c>
      <c r="AF240">
        <f t="shared" si="3"/>
        <v>179.99</v>
      </c>
      <c r="AG240">
        <f>IF(ROW()=2, "", AVERAGE(D$2:D239))</f>
        <v>15.936974789915967</v>
      </c>
    </row>
    <row r="241" spans="1:33" x14ac:dyDescent="0.25">
      <c r="A241" t="s">
        <v>57</v>
      </c>
      <c r="B241" t="s">
        <v>33</v>
      </c>
      <c r="C241" s="1">
        <v>42745</v>
      </c>
      <c r="D241">
        <v>6</v>
      </c>
      <c r="E241">
        <v>1079.94</v>
      </c>
      <c r="F241">
        <v>36.756666670000001</v>
      </c>
      <c r="G241">
        <v>179.99</v>
      </c>
      <c r="H241">
        <v>33</v>
      </c>
      <c r="I241">
        <v>2188</v>
      </c>
      <c r="J241">
        <v>2</v>
      </c>
      <c r="K241">
        <v>7650</v>
      </c>
      <c r="L241">
        <v>4.2</v>
      </c>
      <c r="M241">
        <v>146</v>
      </c>
      <c r="N241">
        <v>22</v>
      </c>
      <c r="O241">
        <v>9</v>
      </c>
      <c r="P241">
        <v>2</v>
      </c>
      <c r="Q241">
        <v>10</v>
      </c>
      <c r="R241">
        <v>2017</v>
      </c>
      <c r="S241">
        <v>15</v>
      </c>
      <c r="T241">
        <v>8000</v>
      </c>
      <c r="U241">
        <v>59.9</v>
      </c>
      <c r="V241">
        <v>4.0999999999999996</v>
      </c>
      <c r="W241">
        <v>18.065897440000001</v>
      </c>
      <c r="X241">
        <v>59.9</v>
      </c>
      <c r="Y241">
        <v>4.2</v>
      </c>
      <c r="Z241">
        <v>17.595483869999999</v>
      </c>
      <c r="AA241">
        <v>59.9</v>
      </c>
      <c r="AB241">
        <v>4.0999999999999996</v>
      </c>
      <c r="AC241">
        <v>16.814166669999999</v>
      </c>
      <c r="AD241">
        <v>179.99</v>
      </c>
      <c r="AE241">
        <f>Table1[[#This Row],[total_price]]/Table1[[#This Row],[qty]]</f>
        <v>179.99</v>
      </c>
      <c r="AF241">
        <f t="shared" si="3"/>
        <v>179.99</v>
      </c>
      <c r="AG241">
        <f>IF(ROW()=2, "", AVERAGE(D$2:D240))</f>
        <v>15.878661087866108</v>
      </c>
    </row>
    <row r="242" spans="1:33" x14ac:dyDescent="0.25">
      <c r="A242" t="s">
        <v>57</v>
      </c>
      <c r="B242" t="s">
        <v>33</v>
      </c>
      <c r="C242" s="1">
        <v>42746</v>
      </c>
      <c r="D242">
        <v>13</v>
      </c>
      <c r="E242">
        <v>2339.87</v>
      </c>
      <c r="F242">
        <v>43.14153846</v>
      </c>
      <c r="G242">
        <v>179.99</v>
      </c>
      <c r="H242">
        <v>33</v>
      </c>
      <c r="I242">
        <v>2188</v>
      </c>
      <c r="J242">
        <v>2</v>
      </c>
      <c r="K242">
        <v>7650</v>
      </c>
      <c r="L242">
        <v>4.2</v>
      </c>
      <c r="M242">
        <v>339</v>
      </c>
      <c r="N242">
        <v>22</v>
      </c>
      <c r="O242">
        <v>8</v>
      </c>
      <c r="P242">
        <v>4</v>
      </c>
      <c r="Q242">
        <v>11</v>
      </c>
      <c r="R242">
        <v>2017</v>
      </c>
      <c r="S242">
        <v>32.5</v>
      </c>
      <c r="T242">
        <v>8000</v>
      </c>
      <c r="U242">
        <v>52.406944439999997</v>
      </c>
      <c r="V242">
        <v>4.0999999999999996</v>
      </c>
      <c r="W242">
        <v>17.06747253</v>
      </c>
      <c r="X242">
        <v>53.648281249999997</v>
      </c>
      <c r="Y242">
        <v>4.2</v>
      </c>
      <c r="Z242">
        <v>16.075862069999999</v>
      </c>
      <c r="AA242">
        <v>53.785714290000001</v>
      </c>
      <c r="AB242">
        <v>4.0999999999999996</v>
      </c>
      <c r="AC242">
        <v>18.27550725</v>
      </c>
      <c r="AD242">
        <v>179.99</v>
      </c>
      <c r="AE242">
        <f>Table1[[#This Row],[total_price]]/Table1[[#This Row],[qty]]</f>
        <v>179.98999999999998</v>
      </c>
      <c r="AF242">
        <f t="shared" si="3"/>
        <v>179.99</v>
      </c>
      <c r="AG242">
        <f>IF(ROW()=2, "", AVERAGE(D$2:D241))</f>
        <v>15.8375</v>
      </c>
    </row>
    <row r="243" spans="1:33" x14ac:dyDescent="0.25">
      <c r="A243" t="s">
        <v>57</v>
      </c>
      <c r="B243" t="s">
        <v>33</v>
      </c>
      <c r="C243" s="1">
        <v>42747</v>
      </c>
      <c r="D243">
        <v>15</v>
      </c>
      <c r="E243">
        <v>2759.85</v>
      </c>
      <c r="F243">
        <v>47.594000000000001</v>
      </c>
      <c r="G243">
        <v>183.99</v>
      </c>
      <c r="H243">
        <v>33</v>
      </c>
      <c r="I243">
        <v>2188</v>
      </c>
      <c r="J243">
        <v>2</v>
      </c>
      <c r="K243">
        <v>7650</v>
      </c>
      <c r="L243">
        <v>4.2</v>
      </c>
      <c r="M243">
        <v>184</v>
      </c>
      <c r="N243">
        <v>21</v>
      </c>
      <c r="O243">
        <v>10</v>
      </c>
      <c r="P243">
        <v>1</v>
      </c>
      <c r="Q243">
        <v>12</v>
      </c>
      <c r="R243">
        <v>2017</v>
      </c>
      <c r="S243">
        <v>37.5</v>
      </c>
      <c r="T243">
        <v>8000</v>
      </c>
      <c r="U243">
        <v>55.1</v>
      </c>
      <c r="V243">
        <v>4.0999999999999996</v>
      </c>
      <c r="W243">
        <v>15.759607839999999</v>
      </c>
      <c r="X243">
        <v>55.424999999999997</v>
      </c>
      <c r="Y243">
        <v>4.2</v>
      </c>
      <c r="Z243">
        <v>19.184374999999999</v>
      </c>
      <c r="AA243">
        <v>55.75</v>
      </c>
      <c r="AB243">
        <v>4.0999999999999996</v>
      </c>
      <c r="AC243">
        <v>17.267272729999998</v>
      </c>
      <c r="AD243">
        <v>179.99</v>
      </c>
      <c r="AE243">
        <f>Table1[[#This Row],[total_price]]/Table1[[#This Row],[qty]]</f>
        <v>183.98999999999998</v>
      </c>
      <c r="AF243">
        <f t="shared" si="3"/>
        <v>179.98999999999998</v>
      </c>
      <c r="AG243">
        <f>IF(ROW()=2, "", AVERAGE(D$2:D242))</f>
        <v>15.825726141078839</v>
      </c>
    </row>
    <row r="244" spans="1:33" x14ac:dyDescent="0.25">
      <c r="A244" t="s">
        <v>57</v>
      </c>
      <c r="B244" t="s">
        <v>33</v>
      </c>
      <c r="C244" s="1">
        <v>43101</v>
      </c>
      <c r="D244">
        <v>14</v>
      </c>
      <c r="E244">
        <v>2629.96</v>
      </c>
      <c r="F244">
        <v>38.53785714</v>
      </c>
      <c r="G244">
        <v>187.85428569999999</v>
      </c>
      <c r="H244">
        <v>33</v>
      </c>
      <c r="I244">
        <v>2188</v>
      </c>
      <c r="J244">
        <v>2</v>
      </c>
      <c r="K244">
        <v>7650</v>
      </c>
      <c r="L244">
        <v>4.2</v>
      </c>
      <c r="M244">
        <v>137</v>
      </c>
      <c r="N244">
        <v>23</v>
      </c>
      <c r="O244">
        <v>8</v>
      </c>
      <c r="P244">
        <v>2</v>
      </c>
      <c r="Q244">
        <v>1</v>
      </c>
      <c r="R244">
        <v>2018</v>
      </c>
      <c r="S244">
        <v>17.948717949999999</v>
      </c>
      <c r="T244">
        <v>8000</v>
      </c>
      <c r="U244">
        <v>49.9</v>
      </c>
      <c r="V244">
        <v>4.0999999999999996</v>
      </c>
      <c r="W244">
        <v>19.495000000000001</v>
      </c>
      <c r="X244">
        <v>49.9</v>
      </c>
      <c r="Y244">
        <v>4.2</v>
      </c>
      <c r="Z244">
        <v>15.841034479999999</v>
      </c>
      <c r="AA244">
        <v>49.9</v>
      </c>
      <c r="AB244">
        <v>4.0999999999999996</v>
      </c>
      <c r="AC244">
        <v>16.505128209999999</v>
      </c>
      <c r="AD244">
        <v>183.99</v>
      </c>
      <c r="AE244">
        <f>Table1[[#This Row],[total_price]]/Table1[[#This Row],[qty]]</f>
        <v>187.85428571428571</v>
      </c>
      <c r="AF244">
        <f t="shared" si="3"/>
        <v>183.98999999999998</v>
      </c>
      <c r="AG244">
        <f>IF(ROW()=2, "", AVERAGE(D$2:D243))</f>
        <v>15.822314049586776</v>
      </c>
    </row>
    <row r="245" spans="1:33" x14ac:dyDescent="0.25">
      <c r="A245" t="s">
        <v>57</v>
      </c>
      <c r="B245" t="s">
        <v>33</v>
      </c>
      <c r="C245" s="1">
        <v>43102</v>
      </c>
      <c r="D245">
        <v>12</v>
      </c>
      <c r="E245">
        <v>2148</v>
      </c>
      <c r="F245">
        <v>47.825833330000002</v>
      </c>
      <c r="G245">
        <v>179</v>
      </c>
      <c r="H245">
        <v>33</v>
      </c>
      <c r="I245">
        <v>2188</v>
      </c>
      <c r="J245">
        <v>2</v>
      </c>
      <c r="K245">
        <v>7650</v>
      </c>
      <c r="L245">
        <v>4.2</v>
      </c>
      <c r="M245">
        <v>160</v>
      </c>
      <c r="N245">
        <v>20</v>
      </c>
      <c r="O245">
        <v>8</v>
      </c>
      <c r="P245">
        <v>2</v>
      </c>
      <c r="Q245">
        <v>2</v>
      </c>
      <c r="R245">
        <v>2018</v>
      </c>
      <c r="S245">
        <v>8.942307692</v>
      </c>
      <c r="T245">
        <v>8000</v>
      </c>
      <c r="U245">
        <v>50.545161290000003</v>
      </c>
      <c r="V245">
        <v>4.0999999999999996</v>
      </c>
      <c r="W245">
        <v>16.611538459999998</v>
      </c>
      <c r="X245">
        <v>50.9</v>
      </c>
      <c r="Y245">
        <v>4.2</v>
      </c>
      <c r="Z245">
        <v>17.519444440000001</v>
      </c>
      <c r="AA245">
        <v>50.357142860000003</v>
      </c>
      <c r="AB245">
        <v>4.0999999999999996</v>
      </c>
      <c r="AC245">
        <v>18.281874999999999</v>
      </c>
      <c r="AD245">
        <v>187.85428569999999</v>
      </c>
      <c r="AE245">
        <f>Table1[[#This Row],[total_price]]/Table1[[#This Row],[qty]]</f>
        <v>179</v>
      </c>
      <c r="AF245">
        <f t="shared" si="3"/>
        <v>187.85428571428571</v>
      </c>
      <c r="AG245">
        <f>IF(ROW()=2, "", AVERAGE(D$2:D244))</f>
        <v>15.814814814814815</v>
      </c>
    </row>
    <row r="246" spans="1:33" x14ac:dyDescent="0.25">
      <c r="A246" t="s">
        <v>57</v>
      </c>
      <c r="B246" t="s">
        <v>33</v>
      </c>
      <c r="C246" s="1">
        <v>43103</v>
      </c>
      <c r="D246">
        <v>13</v>
      </c>
      <c r="E246">
        <v>2277</v>
      </c>
      <c r="F246">
        <v>57.298461539999998</v>
      </c>
      <c r="G246">
        <v>175.1538462</v>
      </c>
      <c r="H246">
        <v>33</v>
      </c>
      <c r="I246">
        <v>2188</v>
      </c>
      <c r="J246">
        <v>2</v>
      </c>
      <c r="K246">
        <v>7650</v>
      </c>
      <c r="L246">
        <v>4.2</v>
      </c>
      <c r="M246">
        <v>116</v>
      </c>
      <c r="N246">
        <v>22</v>
      </c>
      <c r="O246">
        <v>9</v>
      </c>
      <c r="P246">
        <v>1</v>
      </c>
      <c r="Q246">
        <v>3</v>
      </c>
      <c r="R246">
        <v>2018</v>
      </c>
      <c r="S246">
        <v>16.666666670000001</v>
      </c>
      <c r="T246">
        <v>8000</v>
      </c>
      <c r="U246">
        <v>53.9</v>
      </c>
      <c r="V246">
        <v>4.0999999999999996</v>
      </c>
      <c r="W246">
        <v>20.359677420000001</v>
      </c>
      <c r="X246">
        <v>53.9</v>
      </c>
      <c r="Y246">
        <v>4.2</v>
      </c>
      <c r="Z246">
        <v>21.852857140000001</v>
      </c>
      <c r="AA246">
        <v>53.9</v>
      </c>
      <c r="AB246">
        <v>4.0999999999999996</v>
      </c>
      <c r="AC246">
        <v>19.024230769999999</v>
      </c>
      <c r="AD246">
        <v>179</v>
      </c>
      <c r="AE246">
        <f>Table1[[#This Row],[total_price]]/Table1[[#This Row],[qty]]</f>
        <v>175.15384615384616</v>
      </c>
      <c r="AF246">
        <f t="shared" si="3"/>
        <v>179</v>
      </c>
      <c r="AG246">
        <f>IF(ROW()=2, "", AVERAGE(D$2:D245))</f>
        <v>15.799180327868852</v>
      </c>
    </row>
    <row r="247" spans="1:33" x14ac:dyDescent="0.25">
      <c r="A247" t="s">
        <v>57</v>
      </c>
      <c r="B247" t="s">
        <v>33</v>
      </c>
      <c r="C247" s="1">
        <v>43104</v>
      </c>
      <c r="D247">
        <v>11</v>
      </c>
      <c r="E247">
        <v>1969</v>
      </c>
      <c r="F247">
        <v>28.63272727</v>
      </c>
      <c r="G247">
        <v>179</v>
      </c>
      <c r="H247">
        <v>33</v>
      </c>
      <c r="I247">
        <v>2188</v>
      </c>
      <c r="J247">
        <v>2</v>
      </c>
      <c r="K247">
        <v>7650</v>
      </c>
      <c r="L247">
        <v>4.2</v>
      </c>
      <c r="M247">
        <v>111</v>
      </c>
      <c r="N247">
        <v>21</v>
      </c>
      <c r="O247">
        <v>9</v>
      </c>
      <c r="P247">
        <v>1</v>
      </c>
      <c r="Q247">
        <v>4</v>
      </c>
      <c r="R247">
        <v>2018</v>
      </c>
      <c r="S247">
        <v>10.801282049999999</v>
      </c>
      <c r="T247">
        <v>8000</v>
      </c>
      <c r="U247">
        <v>53.9</v>
      </c>
      <c r="V247">
        <v>4.0999999999999996</v>
      </c>
      <c r="W247">
        <v>5.2817391300000001</v>
      </c>
      <c r="X247">
        <v>53.9</v>
      </c>
      <c r="Y247">
        <v>4.2</v>
      </c>
      <c r="Z247">
        <v>19.46846154</v>
      </c>
      <c r="AA247">
        <v>53.9</v>
      </c>
      <c r="AB247">
        <v>4.0999999999999996</v>
      </c>
      <c r="AC247">
        <v>19.071428569999998</v>
      </c>
      <c r="AD247">
        <v>175.1538462</v>
      </c>
      <c r="AE247">
        <f>Table1[[#This Row],[total_price]]/Table1[[#This Row],[qty]]</f>
        <v>179</v>
      </c>
      <c r="AF247">
        <f t="shared" si="3"/>
        <v>175.15384615384616</v>
      </c>
      <c r="AG247">
        <f>IF(ROW()=2, "", AVERAGE(D$2:D246))</f>
        <v>15.787755102040816</v>
      </c>
    </row>
    <row r="248" spans="1:33" x14ac:dyDescent="0.25">
      <c r="A248" t="s">
        <v>57</v>
      </c>
      <c r="B248" t="s">
        <v>33</v>
      </c>
      <c r="C248" s="1">
        <v>43105</v>
      </c>
      <c r="D248">
        <v>3</v>
      </c>
      <c r="E248">
        <v>537</v>
      </c>
      <c r="F248">
        <v>24.37</v>
      </c>
      <c r="G248">
        <v>179</v>
      </c>
      <c r="H248">
        <v>33</v>
      </c>
      <c r="I248">
        <v>2188</v>
      </c>
      <c r="J248">
        <v>2</v>
      </c>
      <c r="K248">
        <v>7650</v>
      </c>
      <c r="L248">
        <v>4.2</v>
      </c>
      <c r="M248">
        <v>102</v>
      </c>
      <c r="N248">
        <v>23</v>
      </c>
      <c r="O248">
        <v>8</v>
      </c>
      <c r="P248">
        <v>3</v>
      </c>
      <c r="Q248">
        <v>5</v>
      </c>
      <c r="R248">
        <v>2018</v>
      </c>
      <c r="S248">
        <v>3.846153846</v>
      </c>
      <c r="T248">
        <v>8000</v>
      </c>
      <c r="U248">
        <v>53.415151520000002</v>
      </c>
      <c r="V248">
        <v>4.0999999999999996</v>
      </c>
      <c r="W248">
        <v>10.753035710000001</v>
      </c>
      <c r="X248">
        <v>53.70952381</v>
      </c>
      <c r="Y248">
        <v>4.2</v>
      </c>
      <c r="Z248">
        <v>13.510344829999999</v>
      </c>
      <c r="AA248">
        <v>53.057894740000002</v>
      </c>
      <c r="AB248">
        <v>4.0999999999999996</v>
      </c>
      <c r="AC248">
        <v>12.98</v>
      </c>
      <c r="AD248">
        <v>179</v>
      </c>
      <c r="AE248">
        <f>Table1[[#This Row],[total_price]]/Table1[[#This Row],[qty]]</f>
        <v>179</v>
      </c>
      <c r="AF248">
        <f t="shared" si="3"/>
        <v>179</v>
      </c>
      <c r="AG248">
        <f>IF(ROW()=2, "", AVERAGE(D$2:D247))</f>
        <v>15.768292682926829</v>
      </c>
    </row>
    <row r="249" spans="1:33" x14ac:dyDescent="0.25">
      <c r="A249" t="s">
        <v>57</v>
      </c>
      <c r="B249" t="s">
        <v>33</v>
      </c>
      <c r="C249" s="1">
        <v>43106</v>
      </c>
      <c r="D249">
        <v>10</v>
      </c>
      <c r="E249">
        <v>1590</v>
      </c>
      <c r="F249">
        <v>54.762999999999998</v>
      </c>
      <c r="G249">
        <v>159</v>
      </c>
      <c r="H249">
        <v>33</v>
      </c>
      <c r="I249">
        <v>2188</v>
      </c>
      <c r="J249">
        <v>2</v>
      </c>
      <c r="K249">
        <v>7650</v>
      </c>
      <c r="L249">
        <v>4.2</v>
      </c>
      <c r="M249">
        <v>58</v>
      </c>
      <c r="N249">
        <v>21</v>
      </c>
      <c r="O249">
        <v>9</v>
      </c>
      <c r="P249">
        <v>0</v>
      </c>
      <c r="Q249">
        <v>6</v>
      </c>
      <c r="R249">
        <v>2018</v>
      </c>
      <c r="S249">
        <v>12.820512819999999</v>
      </c>
      <c r="T249">
        <v>8000</v>
      </c>
      <c r="U249">
        <v>49.9</v>
      </c>
      <c r="V249">
        <v>4.0999999999999996</v>
      </c>
      <c r="W249">
        <v>19.89083333</v>
      </c>
      <c r="X249">
        <v>49.9</v>
      </c>
      <c r="Y249">
        <v>4.2</v>
      </c>
      <c r="Z249">
        <v>23.251666669999999</v>
      </c>
      <c r="AA249">
        <v>49.9</v>
      </c>
      <c r="AB249">
        <v>4.0999999999999996</v>
      </c>
      <c r="AC249">
        <v>22.878666670000001</v>
      </c>
      <c r="AD249">
        <v>179</v>
      </c>
      <c r="AE249">
        <f>Table1[[#This Row],[total_price]]/Table1[[#This Row],[qty]]</f>
        <v>159</v>
      </c>
      <c r="AF249">
        <f t="shared" si="3"/>
        <v>179</v>
      </c>
      <c r="AG249">
        <f>IF(ROW()=2, "", AVERAGE(D$2:D248))</f>
        <v>15.7165991902834</v>
      </c>
    </row>
    <row r="250" spans="1:33" x14ac:dyDescent="0.25">
      <c r="A250" t="s">
        <v>57</v>
      </c>
      <c r="B250" t="s">
        <v>33</v>
      </c>
      <c r="C250" s="1">
        <v>43107</v>
      </c>
      <c r="D250">
        <v>8</v>
      </c>
      <c r="E250">
        <v>1112</v>
      </c>
      <c r="F250">
        <v>48.628749999999997</v>
      </c>
      <c r="G250">
        <v>139</v>
      </c>
      <c r="H250">
        <v>33</v>
      </c>
      <c r="I250">
        <v>2188</v>
      </c>
      <c r="J250">
        <v>2</v>
      </c>
      <c r="K250">
        <v>7650</v>
      </c>
      <c r="L250">
        <v>4.2</v>
      </c>
      <c r="M250">
        <v>54</v>
      </c>
      <c r="N250">
        <v>22</v>
      </c>
      <c r="O250">
        <v>9</v>
      </c>
      <c r="P250">
        <v>1</v>
      </c>
      <c r="Q250">
        <v>7</v>
      </c>
      <c r="R250">
        <v>2018</v>
      </c>
      <c r="S250">
        <v>10.256410259999999</v>
      </c>
      <c r="T250">
        <v>8000</v>
      </c>
      <c r="U250">
        <v>49.91</v>
      </c>
      <c r="V250">
        <v>4.0999999999999996</v>
      </c>
      <c r="W250">
        <v>28.373333330000001</v>
      </c>
      <c r="X250">
        <v>49.9</v>
      </c>
      <c r="Y250">
        <v>4.2</v>
      </c>
      <c r="Z250">
        <v>33.281428570000003</v>
      </c>
      <c r="AA250">
        <v>49.9</v>
      </c>
      <c r="AB250">
        <v>4.0999999999999996</v>
      </c>
      <c r="AC250">
        <v>20.99</v>
      </c>
      <c r="AD250">
        <v>159</v>
      </c>
      <c r="AE250">
        <f>Table1[[#This Row],[total_price]]/Table1[[#This Row],[qty]]</f>
        <v>139</v>
      </c>
      <c r="AF250">
        <f t="shared" si="3"/>
        <v>159</v>
      </c>
      <c r="AG250">
        <f>IF(ROW()=2, "", AVERAGE(D$2:D249))</f>
        <v>15.693548387096774</v>
      </c>
    </row>
    <row r="251" spans="1:33" x14ac:dyDescent="0.25">
      <c r="A251" t="s">
        <v>57</v>
      </c>
      <c r="B251" t="s">
        <v>33</v>
      </c>
      <c r="C251" s="1">
        <v>43108</v>
      </c>
      <c r="D251">
        <v>7</v>
      </c>
      <c r="E251">
        <v>973</v>
      </c>
      <c r="F251">
        <v>73.59</v>
      </c>
      <c r="G251">
        <v>139</v>
      </c>
      <c r="H251">
        <v>33</v>
      </c>
      <c r="I251">
        <v>2188</v>
      </c>
      <c r="J251">
        <v>2</v>
      </c>
      <c r="K251">
        <v>7650</v>
      </c>
      <c r="L251">
        <v>4.2</v>
      </c>
      <c r="M251">
        <v>46</v>
      </c>
      <c r="N251">
        <v>23</v>
      </c>
      <c r="O251">
        <v>8</v>
      </c>
      <c r="P251">
        <v>1</v>
      </c>
      <c r="Q251">
        <v>8</v>
      </c>
      <c r="R251">
        <v>2018</v>
      </c>
      <c r="S251">
        <v>8.9743589739999994</v>
      </c>
      <c r="T251">
        <v>8000</v>
      </c>
      <c r="U251">
        <v>49.91</v>
      </c>
      <c r="V251">
        <v>4.0999999999999996</v>
      </c>
      <c r="W251">
        <v>20.32833333</v>
      </c>
      <c r="X251">
        <v>49.9</v>
      </c>
      <c r="Y251">
        <v>4.2</v>
      </c>
      <c r="Z251">
        <v>36.442</v>
      </c>
      <c r="AA251">
        <v>49.9</v>
      </c>
      <c r="AB251">
        <v>4.0999999999999996</v>
      </c>
      <c r="AC251">
        <v>32.32</v>
      </c>
      <c r="AD251">
        <v>139</v>
      </c>
      <c r="AE251">
        <f>Table1[[#This Row],[total_price]]/Table1[[#This Row],[qty]]</f>
        <v>139</v>
      </c>
      <c r="AF251">
        <f t="shared" si="3"/>
        <v>139</v>
      </c>
      <c r="AG251">
        <f>IF(ROW()=2, "", AVERAGE(D$2:D250))</f>
        <v>15.662650602409638</v>
      </c>
    </row>
    <row r="252" spans="1:33" x14ac:dyDescent="0.25">
      <c r="A252" t="s">
        <v>58</v>
      </c>
      <c r="B252" t="s">
        <v>33</v>
      </c>
      <c r="C252" s="1">
        <v>42739</v>
      </c>
      <c r="D252">
        <v>3</v>
      </c>
      <c r="E252">
        <v>179.7</v>
      </c>
      <c r="F252">
        <v>18.393333330000001</v>
      </c>
      <c r="G252">
        <v>59.9</v>
      </c>
      <c r="H252">
        <v>58</v>
      </c>
      <c r="I252">
        <v>340</v>
      </c>
      <c r="J252">
        <v>2</v>
      </c>
      <c r="K252">
        <v>1500</v>
      </c>
      <c r="L252">
        <v>4</v>
      </c>
      <c r="M252">
        <v>17</v>
      </c>
      <c r="N252">
        <v>20</v>
      </c>
      <c r="O252">
        <v>10</v>
      </c>
      <c r="P252">
        <v>2</v>
      </c>
      <c r="Q252">
        <v>4</v>
      </c>
      <c r="R252">
        <v>2017</v>
      </c>
      <c r="S252">
        <v>7.139686298</v>
      </c>
      <c r="T252">
        <v>19800</v>
      </c>
      <c r="U252">
        <v>59.9</v>
      </c>
      <c r="V252">
        <v>4</v>
      </c>
      <c r="W252">
        <v>18.393333330000001</v>
      </c>
      <c r="X252">
        <v>59.9</v>
      </c>
      <c r="Y252">
        <v>4</v>
      </c>
      <c r="Z252">
        <v>18.393333330000001</v>
      </c>
      <c r="AA252">
        <v>59.9</v>
      </c>
      <c r="AB252">
        <v>4</v>
      </c>
      <c r="AC252">
        <v>18.393333330000001</v>
      </c>
      <c r="AD252">
        <v>59.85</v>
      </c>
      <c r="AE252">
        <f>Table1[[#This Row],[total_price]]/Table1[[#This Row],[qty]]</f>
        <v>59.9</v>
      </c>
      <c r="AF252" t="str">
        <f t="shared" si="3"/>
        <v/>
      </c>
      <c r="AG252">
        <f>IF(ROW()=2, "", AVERAGE(D$2:D251))</f>
        <v>15.628</v>
      </c>
    </row>
    <row r="253" spans="1:33" x14ac:dyDescent="0.25">
      <c r="A253" t="s">
        <v>58</v>
      </c>
      <c r="B253" t="s">
        <v>33</v>
      </c>
      <c r="C253" s="1">
        <v>42740</v>
      </c>
      <c r="D253">
        <v>7</v>
      </c>
      <c r="E253">
        <v>419.3</v>
      </c>
      <c r="F253">
        <v>15.79428571</v>
      </c>
      <c r="G253">
        <v>59.9</v>
      </c>
      <c r="H253">
        <v>58</v>
      </c>
      <c r="I253">
        <v>340</v>
      </c>
      <c r="J253">
        <v>2</v>
      </c>
      <c r="K253">
        <v>1500</v>
      </c>
      <c r="L253">
        <v>4</v>
      </c>
      <c r="M253">
        <v>34</v>
      </c>
      <c r="N253">
        <v>23</v>
      </c>
      <c r="O253">
        <v>8</v>
      </c>
      <c r="P253">
        <v>1</v>
      </c>
      <c r="Q253">
        <v>5</v>
      </c>
      <c r="R253">
        <v>2017</v>
      </c>
      <c r="S253">
        <v>7.0893755550000002</v>
      </c>
      <c r="T253">
        <v>19800</v>
      </c>
      <c r="U253">
        <v>59.9</v>
      </c>
      <c r="V253">
        <v>4.0999999999999996</v>
      </c>
      <c r="W253">
        <v>19.732500000000002</v>
      </c>
      <c r="X253">
        <v>59.9</v>
      </c>
      <c r="Y253">
        <v>4.2</v>
      </c>
      <c r="Z253">
        <v>26.24666667</v>
      </c>
      <c r="AA253">
        <v>59.9</v>
      </c>
      <c r="AB253">
        <v>4</v>
      </c>
      <c r="AC253">
        <v>15.79428571</v>
      </c>
      <c r="AD253">
        <v>59.9</v>
      </c>
      <c r="AE253">
        <f>Table1[[#This Row],[total_price]]/Table1[[#This Row],[qty]]</f>
        <v>59.9</v>
      </c>
      <c r="AF253">
        <f t="shared" si="3"/>
        <v>59.9</v>
      </c>
      <c r="AG253">
        <f>IF(ROW()=2, "", AVERAGE(D$2:D252))</f>
        <v>15.577689243027889</v>
      </c>
    </row>
    <row r="254" spans="1:33" x14ac:dyDescent="0.25">
      <c r="A254" t="s">
        <v>58</v>
      </c>
      <c r="B254" t="s">
        <v>33</v>
      </c>
      <c r="C254" s="1">
        <v>42741</v>
      </c>
      <c r="D254">
        <v>4</v>
      </c>
      <c r="E254">
        <v>239.6</v>
      </c>
      <c r="F254">
        <v>16.612500000000001</v>
      </c>
      <c r="G254">
        <v>59.9</v>
      </c>
      <c r="H254">
        <v>58</v>
      </c>
      <c r="I254">
        <v>340</v>
      </c>
      <c r="J254">
        <v>2</v>
      </c>
      <c r="K254">
        <v>1500</v>
      </c>
      <c r="L254">
        <v>4</v>
      </c>
      <c r="M254">
        <v>26</v>
      </c>
      <c r="N254">
        <v>22</v>
      </c>
      <c r="O254">
        <v>8</v>
      </c>
      <c r="P254">
        <v>1</v>
      </c>
      <c r="Q254">
        <v>6</v>
      </c>
      <c r="R254">
        <v>2017</v>
      </c>
      <c r="S254">
        <v>3.4980763540000002</v>
      </c>
      <c r="T254">
        <v>19800</v>
      </c>
      <c r="U254">
        <v>59.9</v>
      </c>
      <c r="V254">
        <v>4.0999999999999996</v>
      </c>
      <c r="W254">
        <v>17.670000000000002</v>
      </c>
      <c r="X254">
        <v>59.9</v>
      </c>
      <c r="Y254">
        <v>4.2</v>
      </c>
      <c r="Z254">
        <v>16.260000000000002</v>
      </c>
      <c r="AA254">
        <v>59.9</v>
      </c>
      <c r="AB254">
        <v>4</v>
      </c>
      <c r="AC254">
        <v>16.612500000000001</v>
      </c>
      <c r="AD254">
        <v>59.9</v>
      </c>
      <c r="AE254">
        <f>Table1[[#This Row],[total_price]]/Table1[[#This Row],[qty]]</f>
        <v>59.9</v>
      </c>
      <c r="AF254">
        <f t="shared" si="3"/>
        <v>59.9</v>
      </c>
      <c r="AG254">
        <f>IF(ROW()=2, "", AVERAGE(D$2:D253))</f>
        <v>15.543650793650794</v>
      </c>
    </row>
    <row r="255" spans="1:33" x14ac:dyDescent="0.25">
      <c r="A255" t="s">
        <v>58</v>
      </c>
      <c r="B255" t="s">
        <v>33</v>
      </c>
      <c r="C255" s="1">
        <v>42742</v>
      </c>
      <c r="D255">
        <v>19</v>
      </c>
      <c r="E255">
        <v>1138.0999999999999</v>
      </c>
      <c r="F255">
        <v>16.03052632</v>
      </c>
      <c r="G255">
        <v>59.9</v>
      </c>
      <c r="H255">
        <v>58</v>
      </c>
      <c r="I255">
        <v>340</v>
      </c>
      <c r="J255">
        <v>2</v>
      </c>
      <c r="K255">
        <v>1500</v>
      </c>
      <c r="L255">
        <v>4</v>
      </c>
      <c r="M255">
        <v>74</v>
      </c>
      <c r="N255">
        <v>21</v>
      </c>
      <c r="O255">
        <v>10</v>
      </c>
      <c r="P255">
        <v>1</v>
      </c>
      <c r="Q255">
        <v>7</v>
      </c>
      <c r="R255">
        <v>2017</v>
      </c>
      <c r="S255">
        <v>7.2610239720000003</v>
      </c>
      <c r="T255">
        <v>19800</v>
      </c>
      <c r="U255">
        <v>59.9</v>
      </c>
      <c r="V255">
        <v>4.0999999999999996</v>
      </c>
      <c r="W255">
        <v>16.626428570000002</v>
      </c>
      <c r="X255">
        <v>59.9</v>
      </c>
      <c r="Y255">
        <v>4.2</v>
      </c>
      <c r="Z255">
        <v>16.111578949999998</v>
      </c>
      <c r="AA255">
        <v>59.9</v>
      </c>
      <c r="AB255">
        <v>4.0999999999999996</v>
      </c>
      <c r="AC255">
        <v>15.392307690000001</v>
      </c>
      <c r="AD255">
        <v>59.9</v>
      </c>
      <c r="AE255">
        <f>Table1[[#This Row],[total_price]]/Table1[[#This Row],[qty]]</f>
        <v>59.9</v>
      </c>
      <c r="AF255">
        <f t="shared" si="3"/>
        <v>59.9</v>
      </c>
      <c r="AG255">
        <f>IF(ROW()=2, "", AVERAGE(D$2:D254))</f>
        <v>15.49802371541502</v>
      </c>
    </row>
    <row r="256" spans="1:33" x14ac:dyDescent="0.25">
      <c r="A256" t="s">
        <v>58</v>
      </c>
      <c r="B256" t="s">
        <v>33</v>
      </c>
      <c r="C256" s="1">
        <v>42743</v>
      </c>
      <c r="D256">
        <v>21</v>
      </c>
      <c r="E256">
        <v>1257.9000000000001</v>
      </c>
      <c r="F256">
        <v>18.83142857</v>
      </c>
      <c r="G256">
        <v>59.9</v>
      </c>
      <c r="H256">
        <v>58</v>
      </c>
      <c r="I256">
        <v>340</v>
      </c>
      <c r="J256">
        <v>2</v>
      </c>
      <c r="K256">
        <v>1500</v>
      </c>
      <c r="L256">
        <v>4</v>
      </c>
      <c r="M256">
        <v>113</v>
      </c>
      <c r="N256">
        <v>23</v>
      </c>
      <c r="O256">
        <v>8</v>
      </c>
      <c r="P256">
        <v>1</v>
      </c>
      <c r="Q256">
        <v>8</v>
      </c>
      <c r="R256">
        <v>2017</v>
      </c>
      <c r="S256">
        <v>7.0745782779999997</v>
      </c>
      <c r="T256">
        <v>19800</v>
      </c>
      <c r="U256">
        <v>59.9</v>
      </c>
      <c r="V256">
        <v>4.0999999999999996</v>
      </c>
      <c r="W256">
        <v>18.162307689999999</v>
      </c>
      <c r="X256">
        <v>59.9</v>
      </c>
      <c r="Y256">
        <v>4.2</v>
      </c>
      <c r="Z256">
        <v>17.68111111</v>
      </c>
      <c r="AA256">
        <v>59.9</v>
      </c>
      <c r="AB256">
        <v>4.0999999999999996</v>
      </c>
      <c r="AC256">
        <v>18.05043478</v>
      </c>
      <c r="AD256">
        <v>59.9</v>
      </c>
      <c r="AE256">
        <f>Table1[[#This Row],[total_price]]/Table1[[#This Row],[qty]]</f>
        <v>59.900000000000006</v>
      </c>
      <c r="AF256">
        <f t="shared" si="3"/>
        <v>59.9</v>
      </c>
      <c r="AG256">
        <f>IF(ROW()=2, "", AVERAGE(D$2:D255))</f>
        <v>15.511811023622048</v>
      </c>
    </row>
    <row r="257" spans="1:33" x14ac:dyDescent="0.25">
      <c r="A257" t="s">
        <v>58</v>
      </c>
      <c r="B257" t="s">
        <v>33</v>
      </c>
      <c r="C257" s="1">
        <v>42744</v>
      </c>
      <c r="D257">
        <v>23</v>
      </c>
      <c r="E257">
        <v>1377.7</v>
      </c>
      <c r="F257">
        <v>18.643478259999998</v>
      </c>
      <c r="G257">
        <v>59.9</v>
      </c>
      <c r="H257">
        <v>58</v>
      </c>
      <c r="I257">
        <v>340</v>
      </c>
      <c r="J257">
        <v>2</v>
      </c>
      <c r="K257">
        <v>1500</v>
      </c>
      <c r="L257">
        <v>4</v>
      </c>
      <c r="M257">
        <v>115</v>
      </c>
      <c r="N257">
        <v>21</v>
      </c>
      <c r="O257">
        <v>9</v>
      </c>
      <c r="P257">
        <v>1</v>
      </c>
      <c r="Q257">
        <v>9</v>
      </c>
      <c r="R257">
        <v>2017</v>
      </c>
      <c r="S257">
        <v>10.55045872</v>
      </c>
      <c r="T257">
        <v>19800</v>
      </c>
      <c r="U257">
        <v>59.9</v>
      </c>
      <c r="V257">
        <v>4.0999999999999996</v>
      </c>
      <c r="W257">
        <v>17.187027029999999</v>
      </c>
      <c r="X257">
        <v>59.9</v>
      </c>
      <c r="Y257">
        <v>4.2</v>
      </c>
      <c r="Z257">
        <v>16.811764709999999</v>
      </c>
      <c r="AA257">
        <v>59.9</v>
      </c>
      <c r="AB257">
        <v>4.0999999999999996</v>
      </c>
      <c r="AC257">
        <v>16.29461538</v>
      </c>
      <c r="AD257">
        <v>59.9</v>
      </c>
      <c r="AE257">
        <f>Table1[[#This Row],[total_price]]/Table1[[#This Row],[qty]]</f>
        <v>59.9</v>
      </c>
      <c r="AF257">
        <f t="shared" si="3"/>
        <v>59.900000000000006</v>
      </c>
      <c r="AG257">
        <f>IF(ROW()=2, "", AVERAGE(D$2:D256))</f>
        <v>15.533333333333333</v>
      </c>
    </row>
    <row r="258" spans="1:33" x14ac:dyDescent="0.25">
      <c r="A258" t="s">
        <v>58</v>
      </c>
      <c r="B258" t="s">
        <v>33</v>
      </c>
      <c r="C258" s="1">
        <v>42745</v>
      </c>
      <c r="D258">
        <v>19</v>
      </c>
      <c r="E258">
        <v>1138.0999999999999</v>
      </c>
      <c r="F258">
        <v>17.730526319999999</v>
      </c>
      <c r="G258">
        <v>59.9</v>
      </c>
      <c r="H258">
        <v>58</v>
      </c>
      <c r="I258">
        <v>340</v>
      </c>
      <c r="J258">
        <v>2</v>
      </c>
      <c r="K258">
        <v>1500</v>
      </c>
      <c r="L258">
        <v>4</v>
      </c>
      <c r="M258">
        <v>146</v>
      </c>
      <c r="N258">
        <v>22</v>
      </c>
      <c r="O258">
        <v>9</v>
      </c>
      <c r="P258">
        <v>2</v>
      </c>
      <c r="Q258">
        <v>10</v>
      </c>
      <c r="R258">
        <v>2017</v>
      </c>
      <c r="S258">
        <v>8.7155963300000003</v>
      </c>
      <c r="T258">
        <v>19800</v>
      </c>
      <c r="U258">
        <v>59.9</v>
      </c>
      <c r="V258">
        <v>4.0999999999999996</v>
      </c>
      <c r="W258">
        <v>18.065897440000001</v>
      </c>
      <c r="X258">
        <v>59.9</v>
      </c>
      <c r="Y258">
        <v>4.2</v>
      </c>
      <c r="Z258">
        <v>17.595483869999999</v>
      </c>
      <c r="AA258">
        <v>59.9</v>
      </c>
      <c r="AB258">
        <v>4.0999999999999996</v>
      </c>
      <c r="AC258">
        <v>16.814166669999999</v>
      </c>
      <c r="AD258">
        <v>59.9</v>
      </c>
      <c r="AE258">
        <f>Table1[[#This Row],[total_price]]/Table1[[#This Row],[qty]]</f>
        <v>59.9</v>
      </c>
      <c r="AF258">
        <f t="shared" ref="AF258:AF321" si="4">IF(A258=A257,AE257,"")</f>
        <v>59.9</v>
      </c>
      <c r="AG258">
        <f>IF(ROW()=2, "", AVERAGE(D$2:D257))</f>
        <v>15.5625</v>
      </c>
    </row>
    <row r="259" spans="1:33" x14ac:dyDescent="0.25">
      <c r="A259" t="s">
        <v>58</v>
      </c>
      <c r="B259" t="s">
        <v>33</v>
      </c>
      <c r="C259" s="1">
        <v>42746</v>
      </c>
      <c r="D259">
        <v>82</v>
      </c>
      <c r="E259">
        <v>4397.7</v>
      </c>
      <c r="F259">
        <v>17.807804879999999</v>
      </c>
      <c r="G259">
        <v>53.379104480000002</v>
      </c>
      <c r="H259">
        <v>58</v>
      </c>
      <c r="I259">
        <v>340</v>
      </c>
      <c r="J259">
        <v>2</v>
      </c>
      <c r="K259">
        <v>1500</v>
      </c>
      <c r="L259">
        <v>4</v>
      </c>
      <c r="M259">
        <v>339</v>
      </c>
      <c r="N259">
        <v>22</v>
      </c>
      <c r="O259">
        <v>8</v>
      </c>
      <c r="P259">
        <v>4</v>
      </c>
      <c r="Q259">
        <v>11</v>
      </c>
      <c r="R259">
        <v>2017</v>
      </c>
      <c r="S259">
        <v>37.614678900000001</v>
      </c>
      <c r="T259">
        <v>19800</v>
      </c>
      <c r="U259">
        <v>52.406944439999997</v>
      </c>
      <c r="V259">
        <v>4.0999999999999996</v>
      </c>
      <c r="W259">
        <v>17.06747253</v>
      </c>
      <c r="X259">
        <v>53.648281249999997</v>
      </c>
      <c r="Y259">
        <v>4.2</v>
      </c>
      <c r="Z259">
        <v>16.075862069999999</v>
      </c>
      <c r="AA259">
        <v>53.785714290000001</v>
      </c>
      <c r="AB259">
        <v>4.0999999999999996</v>
      </c>
      <c r="AC259">
        <v>18.27550725</v>
      </c>
      <c r="AD259">
        <v>59.9</v>
      </c>
      <c r="AE259">
        <f>Table1[[#This Row],[total_price]]/Table1[[#This Row],[qty]]</f>
        <v>53.630487804878044</v>
      </c>
      <c r="AF259">
        <f t="shared" si="4"/>
        <v>59.9</v>
      </c>
      <c r="AG259">
        <f>IF(ROW()=2, "", AVERAGE(D$2:D258))</f>
        <v>15.575875486381323</v>
      </c>
    </row>
    <row r="260" spans="1:33" x14ac:dyDescent="0.25">
      <c r="A260" t="s">
        <v>58</v>
      </c>
      <c r="B260" t="s">
        <v>33</v>
      </c>
      <c r="C260" s="1">
        <v>42747</v>
      </c>
      <c r="D260">
        <v>40</v>
      </c>
      <c r="E260">
        <v>2232.6</v>
      </c>
      <c r="F260">
        <v>17.517499999999998</v>
      </c>
      <c r="G260">
        <v>55.770967740000003</v>
      </c>
      <c r="H260">
        <v>58</v>
      </c>
      <c r="I260">
        <v>340</v>
      </c>
      <c r="J260">
        <v>2</v>
      </c>
      <c r="K260">
        <v>1500</v>
      </c>
      <c r="L260">
        <v>4</v>
      </c>
      <c r="M260">
        <v>184</v>
      </c>
      <c r="N260">
        <v>21</v>
      </c>
      <c r="O260">
        <v>10</v>
      </c>
      <c r="P260">
        <v>1</v>
      </c>
      <c r="Q260">
        <v>12</v>
      </c>
      <c r="R260">
        <v>2017</v>
      </c>
      <c r="S260">
        <v>18.348623849999999</v>
      </c>
      <c r="T260">
        <v>19800</v>
      </c>
      <c r="U260">
        <v>55.1</v>
      </c>
      <c r="V260">
        <v>4.0999999999999996</v>
      </c>
      <c r="W260">
        <v>15.759607839999999</v>
      </c>
      <c r="X260">
        <v>55.424999999999997</v>
      </c>
      <c r="Y260">
        <v>4.2</v>
      </c>
      <c r="Z260">
        <v>19.184374999999999</v>
      </c>
      <c r="AA260">
        <v>55.75</v>
      </c>
      <c r="AB260">
        <v>4.0999999999999996</v>
      </c>
      <c r="AC260">
        <v>17.267272729999998</v>
      </c>
      <c r="AD260">
        <v>53.379104480000002</v>
      </c>
      <c r="AE260">
        <f>Table1[[#This Row],[total_price]]/Table1[[#This Row],[qty]]</f>
        <v>55.814999999999998</v>
      </c>
      <c r="AF260">
        <f t="shared" si="4"/>
        <v>53.630487804878044</v>
      </c>
      <c r="AG260">
        <f>IF(ROW()=2, "", AVERAGE(D$2:D259))</f>
        <v>15.833333333333334</v>
      </c>
    </row>
    <row r="261" spans="1:33" x14ac:dyDescent="0.25">
      <c r="A261" t="s">
        <v>58</v>
      </c>
      <c r="B261" t="s">
        <v>33</v>
      </c>
      <c r="C261" s="1">
        <v>43101</v>
      </c>
      <c r="D261">
        <v>25</v>
      </c>
      <c r="E261">
        <v>1247.5</v>
      </c>
      <c r="F261">
        <v>17.7532</v>
      </c>
      <c r="G261">
        <v>49.9</v>
      </c>
      <c r="H261">
        <v>58</v>
      </c>
      <c r="I261">
        <v>340</v>
      </c>
      <c r="J261">
        <v>2</v>
      </c>
      <c r="K261">
        <v>1500</v>
      </c>
      <c r="L261">
        <v>4</v>
      </c>
      <c r="M261">
        <v>137</v>
      </c>
      <c r="N261">
        <v>23</v>
      </c>
      <c r="O261">
        <v>8</v>
      </c>
      <c r="P261">
        <v>2</v>
      </c>
      <c r="Q261">
        <v>1</v>
      </c>
      <c r="R261">
        <v>2018</v>
      </c>
      <c r="S261">
        <v>16.129032259999999</v>
      </c>
      <c r="T261">
        <v>19800</v>
      </c>
      <c r="U261">
        <v>49.9</v>
      </c>
      <c r="V261">
        <v>4.0999999999999996</v>
      </c>
      <c r="W261">
        <v>19.495000000000001</v>
      </c>
      <c r="X261">
        <v>49.9</v>
      </c>
      <c r="Y261">
        <v>4.2</v>
      </c>
      <c r="Z261">
        <v>15.841034479999999</v>
      </c>
      <c r="AA261">
        <v>49.9</v>
      </c>
      <c r="AB261">
        <v>4.0999999999999996</v>
      </c>
      <c r="AC261">
        <v>16.505128209999999</v>
      </c>
      <c r="AD261">
        <v>55.770967740000003</v>
      </c>
      <c r="AE261">
        <f>Table1[[#This Row],[total_price]]/Table1[[#This Row],[qty]]</f>
        <v>49.9</v>
      </c>
      <c r="AF261">
        <f t="shared" si="4"/>
        <v>55.814999999999998</v>
      </c>
      <c r="AG261">
        <f>IF(ROW()=2, "", AVERAGE(D$2:D260))</f>
        <v>15.926640926640927</v>
      </c>
    </row>
    <row r="262" spans="1:33" x14ac:dyDescent="0.25">
      <c r="A262" t="s">
        <v>58</v>
      </c>
      <c r="B262" t="s">
        <v>33</v>
      </c>
      <c r="C262" s="1">
        <v>43102</v>
      </c>
      <c r="D262">
        <v>44</v>
      </c>
      <c r="E262">
        <v>2247.6</v>
      </c>
      <c r="F262">
        <v>16.283409089999999</v>
      </c>
      <c r="G262">
        <v>51.024999999999999</v>
      </c>
      <c r="H262">
        <v>58</v>
      </c>
      <c r="I262">
        <v>340</v>
      </c>
      <c r="J262">
        <v>2</v>
      </c>
      <c r="K262">
        <v>1500</v>
      </c>
      <c r="L262">
        <v>4</v>
      </c>
      <c r="M262">
        <v>160</v>
      </c>
      <c r="N262">
        <v>20</v>
      </c>
      <c r="O262">
        <v>8</v>
      </c>
      <c r="P262">
        <v>2</v>
      </c>
      <c r="Q262">
        <v>2</v>
      </c>
      <c r="R262">
        <v>2018</v>
      </c>
      <c r="S262">
        <v>28.387096769999999</v>
      </c>
      <c r="T262">
        <v>19800</v>
      </c>
      <c r="U262">
        <v>50.545161290000003</v>
      </c>
      <c r="V262">
        <v>4.0999999999999996</v>
      </c>
      <c r="W262">
        <v>16.611538459999998</v>
      </c>
      <c r="X262">
        <v>50.9</v>
      </c>
      <c r="Y262">
        <v>4.2</v>
      </c>
      <c r="Z262">
        <v>17.519444440000001</v>
      </c>
      <c r="AA262">
        <v>50.357142860000003</v>
      </c>
      <c r="AB262">
        <v>4.0999999999999996</v>
      </c>
      <c r="AC262">
        <v>18.281874999999999</v>
      </c>
      <c r="AD262">
        <v>49.9</v>
      </c>
      <c r="AE262">
        <f>Table1[[#This Row],[total_price]]/Table1[[#This Row],[qty]]</f>
        <v>51.081818181818178</v>
      </c>
      <c r="AF262">
        <f t="shared" si="4"/>
        <v>49.9</v>
      </c>
      <c r="AG262">
        <f>IF(ROW()=2, "", AVERAGE(D$2:D261))</f>
        <v>15.961538461538462</v>
      </c>
    </row>
    <row r="263" spans="1:33" x14ac:dyDescent="0.25">
      <c r="A263" t="s">
        <v>58</v>
      </c>
      <c r="B263" t="s">
        <v>33</v>
      </c>
      <c r="C263" s="1">
        <v>43103</v>
      </c>
      <c r="D263">
        <v>25</v>
      </c>
      <c r="E263">
        <v>1347.5</v>
      </c>
      <c r="F263">
        <v>19.264800000000001</v>
      </c>
      <c r="G263">
        <v>53.9</v>
      </c>
      <c r="H263">
        <v>58</v>
      </c>
      <c r="I263">
        <v>340</v>
      </c>
      <c r="J263">
        <v>2</v>
      </c>
      <c r="K263">
        <v>1500</v>
      </c>
      <c r="L263">
        <v>4</v>
      </c>
      <c r="M263">
        <v>116</v>
      </c>
      <c r="N263">
        <v>22</v>
      </c>
      <c r="O263">
        <v>9</v>
      </c>
      <c r="P263">
        <v>1</v>
      </c>
      <c r="Q263">
        <v>3</v>
      </c>
      <c r="R263">
        <v>2018</v>
      </c>
      <c r="S263">
        <v>16.129032259999999</v>
      </c>
      <c r="T263">
        <v>19800</v>
      </c>
      <c r="U263">
        <v>53.9</v>
      </c>
      <c r="V263">
        <v>4.0999999999999996</v>
      </c>
      <c r="W263">
        <v>20.359677420000001</v>
      </c>
      <c r="X263">
        <v>53.9</v>
      </c>
      <c r="Y263">
        <v>4.2</v>
      </c>
      <c r="Z263">
        <v>21.852857140000001</v>
      </c>
      <c r="AA263">
        <v>53.9</v>
      </c>
      <c r="AB263">
        <v>4.0999999999999996</v>
      </c>
      <c r="AC263">
        <v>19.024230769999999</v>
      </c>
      <c r="AD263">
        <v>51.024999999999999</v>
      </c>
      <c r="AE263">
        <f>Table1[[#This Row],[total_price]]/Table1[[#This Row],[qty]]</f>
        <v>53.9</v>
      </c>
      <c r="AF263">
        <f t="shared" si="4"/>
        <v>51.081818181818178</v>
      </c>
      <c r="AG263">
        <f>IF(ROW()=2, "", AVERAGE(D$2:D262))</f>
        <v>16.068965517241381</v>
      </c>
    </row>
    <row r="264" spans="1:33" x14ac:dyDescent="0.25">
      <c r="A264" t="s">
        <v>58</v>
      </c>
      <c r="B264" t="s">
        <v>33</v>
      </c>
      <c r="C264" s="1">
        <v>43104</v>
      </c>
      <c r="D264">
        <v>20</v>
      </c>
      <c r="E264">
        <v>1078</v>
      </c>
      <c r="F264">
        <v>20.562999999999999</v>
      </c>
      <c r="G264">
        <v>53.9</v>
      </c>
      <c r="H264">
        <v>58</v>
      </c>
      <c r="I264">
        <v>340</v>
      </c>
      <c r="J264">
        <v>2</v>
      </c>
      <c r="K264">
        <v>1500</v>
      </c>
      <c r="L264">
        <v>4</v>
      </c>
      <c r="M264">
        <v>111</v>
      </c>
      <c r="N264">
        <v>21</v>
      </c>
      <c r="O264">
        <v>9</v>
      </c>
      <c r="P264">
        <v>1</v>
      </c>
      <c r="Q264">
        <v>4</v>
      </c>
      <c r="R264">
        <v>2018</v>
      </c>
      <c r="S264">
        <v>7.139686298</v>
      </c>
      <c r="T264">
        <v>19800</v>
      </c>
      <c r="U264">
        <v>53.9</v>
      </c>
      <c r="V264">
        <v>4.0999999999999996</v>
      </c>
      <c r="W264">
        <v>5.2817391300000001</v>
      </c>
      <c r="X264">
        <v>53.9</v>
      </c>
      <c r="Y264">
        <v>4.2</v>
      </c>
      <c r="Z264">
        <v>19.46846154</v>
      </c>
      <c r="AA264">
        <v>53.9</v>
      </c>
      <c r="AB264">
        <v>4.0999999999999996</v>
      </c>
      <c r="AC264">
        <v>19.071428569999998</v>
      </c>
      <c r="AD264">
        <v>53.9</v>
      </c>
      <c r="AE264">
        <f>Table1[[#This Row],[total_price]]/Table1[[#This Row],[qty]]</f>
        <v>53.9</v>
      </c>
      <c r="AF264">
        <f t="shared" si="4"/>
        <v>53.9</v>
      </c>
      <c r="AG264">
        <f>IF(ROW()=2, "", AVERAGE(D$2:D263))</f>
        <v>16.103053435114504</v>
      </c>
    </row>
    <row r="265" spans="1:33" x14ac:dyDescent="0.25">
      <c r="A265" t="s">
        <v>58</v>
      </c>
      <c r="B265" t="s">
        <v>33</v>
      </c>
      <c r="C265" s="1">
        <v>43105</v>
      </c>
      <c r="D265">
        <v>17</v>
      </c>
      <c r="E265">
        <v>888.3</v>
      </c>
      <c r="F265">
        <v>14.388235290000001</v>
      </c>
      <c r="G265">
        <v>52.566666669999996</v>
      </c>
      <c r="H265">
        <v>58</v>
      </c>
      <c r="I265">
        <v>340</v>
      </c>
      <c r="J265">
        <v>2</v>
      </c>
      <c r="K265">
        <v>1500</v>
      </c>
      <c r="L265">
        <v>4</v>
      </c>
      <c r="M265">
        <v>102</v>
      </c>
      <c r="N265">
        <v>23</v>
      </c>
      <c r="O265">
        <v>8</v>
      </c>
      <c r="P265">
        <v>3</v>
      </c>
      <c r="Q265">
        <v>5</v>
      </c>
      <c r="R265">
        <v>2018</v>
      </c>
      <c r="S265">
        <v>7.0893755550000002</v>
      </c>
      <c r="T265">
        <v>19800</v>
      </c>
      <c r="U265">
        <v>53.415151520000002</v>
      </c>
      <c r="V265">
        <v>4.0999999999999996</v>
      </c>
      <c r="W265">
        <v>10.753035710000001</v>
      </c>
      <c r="X265">
        <v>53.70952381</v>
      </c>
      <c r="Y265">
        <v>4.2</v>
      </c>
      <c r="Z265">
        <v>13.510344829999999</v>
      </c>
      <c r="AA265">
        <v>53.057894740000002</v>
      </c>
      <c r="AB265">
        <v>4.0999999999999996</v>
      </c>
      <c r="AC265">
        <v>12.98</v>
      </c>
      <c r="AD265">
        <v>53.9</v>
      </c>
      <c r="AE265">
        <f>Table1[[#This Row],[total_price]]/Table1[[#This Row],[qty]]</f>
        <v>52.252941176470586</v>
      </c>
      <c r="AF265">
        <f t="shared" si="4"/>
        <v>53.9</v>
      </c>
      <c r="AG265">
        <f>IF(ROW()=2, "", AVERAGE(D$2:D264))</f>
        <v>16.117870722433459</v>
      </c>
    </row>
    <row r="266" spans="1:33" x14ac:dyDescent="0.25">
      <c r="A266" t="s">
        <v>58</v>
      </c>
      <c r="B266" t="s">
        <v>33</v>
      </c>
      <c r="C266" s="1">
        <v>43106</v>
      </c>
      <c r="D266">
        <v>8</v>
      </c>
      <c r="E266">
        <v>399.2</v>
      </c>
      <c r="F266">
        <v>29.786249999999999</v>
      </c>
      <c r="G266">
        <v>49.9</v>
      </c>
      <c r="H266">
        <v>58</v>
      </c>
      <c r="I266">
        <v>340</v>
      </c>
      <c r="J266">
        <v>2</v>
      </c>
      <c r="K266">
        <v>1500</v>
      </c>
      <c r="L266">
        <v>4</v>
      </c>
      <c r="M266">
        <v>58</v>
      </c>
      <c r="N266">
        <v>21</v>
      </c>
      <c r="O266">
        <v>9</v>
      </c>
      <c r="P266">
        <v>0</v>
      </c>
      <c r="Q266">
        <v>6</v>
      </c>
      <c r="R266">
        <v>2018</v>
      </c>
      <c r="S266">
        <v>3.4980763540000002</v>
      </c>
      <c r="T266">
        <v>19800</v>
      </c>
      <c r="U266">
        <v>49.9</v>
      </c>
      <c r="V266">
        <v>4.0999999999999996</v>
      </c>
      <c r="W266">
        <v>19.89083333</v>
      </c>
      <c r="X266">
        <v>49.9</v>
      </c>
      <c r="Y266">
        <v>4.2</v>
      </c>
      <c r="Z266">
        <v>23.251666669999999</v>
      </c>
      <c r="AA266">
        <v>49.9</v>
      </c>
      <c r="AB266">
        <v>4.0999999999999996</v>
      </c>
      <c r="AC266">
        <v>22.878666670000001</v>
      </c>
      <c r="AD266">
        <v>52.566666669999996</v>
      </c>
      <c r="AE266">
        <f>Table1[[#This Row],[total_price]]/Table1[[#This Row],[qty]]</f>
        <v>49.9</v>
      </c>
      <c r="AF266">
        <f t="shared" si="4"/>
        <v>52.252941176470586</v>
      </c>
      <c r="AG266">
        <f>IF(ROW()=2, "", AVERAGE(D$2:D265))</f>
        <v>16.121212121212121</v>
      </c>
    </row>
    <row r="267" spans="1:33" x14ac:dyDescent="0.25">
      <c r="A267" t="s">
        <v>58</v>
      </c>
      <c r="B267" t="s">
        <v>33</v>
      </c>
      <c r="C267" s="1">
        <v>43107</v>
      </c>
      <c r="D267">
        <v>9</v>
      </c>
      <c r="E267">
        <v>449.1</v>
      </c>
      <c r="F267">
        <v>27.77</v>
      </c>
      <c r="G267">
        <v>49.9</v>
      </c>
      <c r="H267">
        <v>58</v>
      </c>
      <c r="I267">
        <v>340</v>
      </c>
      <c r="J267">
        <v>2</v>
      </c>
      <c r="K267">
        <v>1500</v>
      </c>
      <c r="L267">
        <v>4</v>
      </c>
      <c r="M267">
        <v>54</v>
      </c>
      <c r="N267">
        <v>22</v>
      </c>
      <c r="O267">
        <v>9</v>
      </c>
      <c r="P267">
        <v>1</v>
      </c>
      <c r="Q267">
        <v>7</v>
      </c>
      <c r="R267">
        <v>2018</v>
      </c>
      <c r="S267">
        <v>7.2610239720000003</v>
      </c>
      <c r="T267">
        <v>19800</v>
      </c>
      <c r="U267">
        <v>49.91</v>
      </c>
      <c r="V267">
        <v>4.0999999999999996</v>
      </c>
      <c r="W267">
        <v>28.373333330000001</v>
      </c>
      <c r="X267">
        <v>49.9</v>
      </c>
      <c r="Y267">
        <v>4.2</v>
      </c>
      <c r="Z267">
        <v>33.281428570000003</v>
      </c>
      <c r="AA267">
        <v>49.9</v>
      </c>
      <c r="AB267">
        <v>4.0999999999999996</v>
      </c>
      <c r="AC267">
        <v>20.99</v>
      </c>
      <c r="AD267">
        <v>49.9</v>
      </c>
      <c r="AE267">
        <f>Table1[[#This Row],[total_price]]/Table1[[#This Row],[qty]]</f>
        <v>49.900000000000006</v>
      </c>
      <c r="AF267">
        <f t="shared" si="4"/>
        <v>49.9</v>
      </c>
      <c r="AG267">
        <f>IF(ROW()=2, "", AVERAGE(D$2:D266))</f>
        <v>16.090566037735851</v>
      </c>
    </row>
    <row r="268" spans="1:33" x14ac:dyDescent="0.25">
      <c r="A268" t="s">
        <v>58</v>
      </c>
      <c r="B268" t="s">
        <v>33</v>
      </c>
      <c r="C268" s="1">
        <v>43108</v>
      </c>
      <c r="D268">
        <v>7</v>
      </c>
      <c r="E268">
        <v>349.3</v>
      </c>
      <c r="F268">
        <v>33.74</v>
      </c>
      <c r="G268">
        <v>49.9</v>
      </c>
      <c r="H268">
        <v>58</v>
      </c>
      <c r="I268">
        <v>340</v>
      </c>
      <c r="J268">
        <v>2</v>
      </c>
      <c r="K268">
        <v>1500</v>
      </c>
      <c r="L268">
        <v>4</v>
      </c>
      <c r="M268">
        <v>46</v>
      </c>
      <c r="N268">
        <v>23</v>
      </c>
      <c r="O268">
        <v>8</v>
      </c>
      <c r="P268">
        <v>1</v>
      </c>
      <c r="Q268">
        <v>8</v>
      </c>
      <c r="R268">
        <v>2018</v>
      </c>
      <c r="S268">
        <v>7.0745782779999997</v>
      </c>
      <c r="T268">
        <v>19800</v>
      </c>
      <c r="U268">
        <v>49.91</v>
      </c>
      <c r="V268">
        <v>4.0999999999999996</v>
      </c>
      <c r="W268">
        <v>20.32833333</v>
      </c>
      <c r="X268">
        <v>49.9</v>
      </c>
      <c r="Y268">
        <v>4.2</v>
      </c>
      <c r="Z268">
        <v>36.442</v>
      </c>
      <c r="AA268">
        <v>49.9</v>
      </c>
      <c r="AB268">
        <v>4.0999999999999996</v>
      </c>
      <c r="AC268">
        <v>32.32</v>
      </c>
      <c r="AD268">
        <v>49.9</v>
      </c>
      <c r="AE268">
        <f>Table1[[#This Row],[total_price]]/Table1[[#This Row],[qty]]</f>
        <v>49.9</v>
      </c>
      <c r="AF268">
        <f t="shared" si="4"/>
        <v>49.900000000000006</v>
      </c>
      <c r="AG268">
        <f>IF(ROW()=2, "", AVERAGE(D$2:D267))</f>
        <v>16.063909774436091</v>
      </c>
    </row>
    <row r="269" spans="1:33" x14ac:dyDescent="0.25">
      <c r="A269" t="s">
        <v>59</v>
      </c>
      <c r="B269" t="s">
        <v>55</v>
      </c>
      <c r="C269" s="1">
        <v>42741</v>
      </c>
      <c r="D269">
        <v>4</v>
      </c>
      <c r="E269">
        <v>652</v>
      </c>
      <c r="F269">
        <v>14.265000000000001</v>
      </c>
      <c r="G269">
        <v>163</v>
      </c>
      <c r="H269">
        <v>33</v>
      </c>
      <c r="I269">
        <v>523</v>
      </c>
      <c r="J269">
        <v>3</v>
      </c>
      <c r="K269">
        <v>584</v>
      </c>
      <c r="L269">
        <v>4.2</v>
      </c>
      <c r="M269">
        <v>17</v>
      </c>
      <c r="N269">
        <v>22</v>
      </c>
      <c r="O269">
        <v>8</v>
      </c>
      <c r="P269">
        <v>1</v>
      </c>
      <c r="Q269">
        <v>6</v>
      </c>
      <c r="R269">
        <v>2017</v>
      </c>
      <c r="S269">
        <v>4.7812757929999998</v>
      </c>
      <c r="T269">
        <v>2288</v>
      </c>
      <c r="U269">
        <v>163</v>
      </c>
      <c r="V269">
        <v>4.2</v>
      </c>
      <c r="W269">
        <v>14.265000000000001</v>
      </c>
      <c r="X269">
        <v>163</v>
      </c>
      <c r="Y269">
        <v>4.2</v>
      </c>
      <c r="Z269">
        <v>14.265000000000001</v>
      </c>
      <c r="AA269">
        <v>185</v>
      </c>
      <c r="AB269">
        <v>3.8</v>
      </c>
      <c r="AC269">
        <v>14.74</v>
      </c>
      <c r="AD269">
        <v>162.94999999999999</v>
      </c>
      <c r="AE269">
        <f>Table1[[#This Row],[total_price]]/Table1[[#This Row],[qty]]</f>
        <v>163</v>
      </c>
      <c r="AF269" t="str">
        <f t="shared" si="4"/>
        <v/>
      </c>
      <c r="AG269">
        <f>IF(ROW()=2, "", AVERAGE(D$2:D268))</f>
        <v>16.029962546816478</v>
      </c>
    </row>
    <row r="270" spans="1:33" x14ac:dyDescent="0.25">
      <c r="A270" t="s">
        <v>59</v>
      </c>
      <c r="B270" t="s">
        <v>55</v>
      </c>
      <c r="C270" s="1">
        <v>42742</v>
      </c>
      <c r="D270">
        <v>11</v>
      </c>
      <c r="E270">
        <v>1777.5</v>
      </c>
      <c r="F270">
        <v>15.525454549999999</v>
      </c>
      <c r="G270">
        <v>161.5909091</v>
      </c>
      <c r="H270">
        <v>33</v>
      </c>
      <c r="I270">
        <v>523</v>
      </c>
      <c r="J270">
        <v>3</v>
      </c>
      <c r="K270">
        <v>584</v>
      </c>
      <c r="L270">
        <v>4.2</v>
      </c>
      <c r="M270">
        <v>29</v>
      </c>
      <c r="N270">
        <v>21</v>
      </c>
      <c r="O270">
        <v>10</v>
      </c>
      <c r="P270">
        <v>1</v>
      </c>
      <c r="Q270">
        <v>7</v>
      </c>
      <c r="R270">
        <v>2017</v>
      </c>
      <c r="S270">
        <v>10.47341115</v>
      </c>
      <c r="T270">
        <v>2288</v>
      </c>
      <c r="U270">
        <v>161.5909091</v>
      </c>
      <c r="V270">
        <v>4.2</v>
      </c>
      <c r="W270">
        <v>15.525454549999999</v>
      </c>
      <c r="X270">
        <v>161.5909091</v>
      </c>
      <c r="Y270">
        <v>4.2</v>
      </c>
      <c r="Z270">
        <v>15.525454549999999</v>
      </c>
      <c r="AA270">
        <v>197.38300000000001</v>
      </c>
      <c r="AB270">
        <v>3.8</v>
      </c>
      <c r="AC270">
        <v>16.606000000000002</v>
      </c>
      <c r="AD270">
        <v>163</v>
      </c>
      <c r="AE270">
        <f>Table1[[#This Row],[total_price]]/Table1[[#This Row],[qty]]</f>
        <v>161.59090909090909</v>
      </c>
      <c r="AF270">
        <f t="shared" si="4"/>
        <v>163</v>
      </c>
      <c r="AG270">
        <f>IF(ROW()=2, "", AVERAGE(D$2:D269))</f>
        <v>15.985074626865671</v>
      </c>
    </row>
    <row r="271" spans="1:33" x14ac:dyDescent="0.25">
      <c r="A271" t="s">
        <v>59</v>
      </c>
      <c r="B271" t="s">
        <v>55</v>
      </c>
      <c r="C271" s="1">
        <v>42743</v>
      </c>
      <c r="D271">
        <v>13</v>
      </c>
      <c r="E271">
        <v>2088.6999999999998</v>
      </c>
      <c r="F271">
        <v>15.185384620000001</v>
      </c>
      <c r="G271">
        <v>160.66923080000001</v>
      </c>
      <c r="H271">
        <v>33</v>
      </c>
      <c r="I271">
        <v>523</v>
      </c>
      <c r="J271">
        <v>3</v>
      </c>
      <c r="K271">
        <v>584</v>
      </c>
      <c r="L271">
        <v>4.2</v>
      </c>
      <c r="M271">
        <v>48</v>
      </c>
      <c r="N271">
        <v>23</v>
      </c>
      <c r="O271">
        <v>8</v>
      </c>
      <c r="P271">
        <v>1</v>
      </c>
      <c r="Q271">
        <v>8</v>
      </c>
      <c r="R271">
        <v>2017</v>
      </c>
      <c r="S271">
        <v>10.043037379999999</v>
      </c>
      <c r="T271">
        <v>2288</v>
      </c>
      <c r="U271">
        <v>160.66923080000001</v>
      </c>
      <c r="V271">
        <v>4.2</v>
      </c>
      <c r="W271">
        <v>15.185384620000001</v>
      </c>
      <c r="X271">
        <v>160.66923080000001</v>
      </c>
      <c r="Y271">
        <v>4.2</v>
      </c>
      <c r="Z271">
        <v>15.185384620000001</v>
      </c>
      <c r="AA271">
        <v>179.9</v>
      </c>
      <c r="AB271">
        <v>3.8</v>
      </c>
      <c r="AC271">
        <v>14.926666669999999</v>
      </c>
      <c r="AD271">
        <v>161.5909091</v>
      </c>
      <c r="AE271">
        <f>Table1[[#This Row],[total_price]]/Table1[[#This Row],[qty]]</f>
        <v>160.66923076923075</v>
      </c>
      <c r="AF271">
        <f t="shared" si="4"/>
        <v>161.59090909090909</v>
      </c>
      <c r="AG271">
        <f>IF(ROW()=2, "", AVERAGE(D$2:D270))</f>
        <v>15.966542750929367</v>
      </c>
    </row>
    <row r="272" spans="1:33" x14ac:dyDescent="0.25">
      <c r="A272" t="s">
        <v>59</v>
      </c>
      <c r="B272" t="s">
        <v>55</v>
      </c>
      <c r="C272" s="1">
        <v>42744</v>
      </c>
      <c r="D272">
        <v>18</v>
      </c>
      <c r="E272">
        <v>2762.5</v>
      </c>
      <c r="F272">
        <v>14.041111109999999</v>
      </c>
      <c r="G272">
        <v>148.7785714</v>
      </c>
      <c r="H272">
        <v>33</v>
      </c>
      <c r="I272">
        <v>523</v>
      </c>
      <c r="J272">
        <v>3</v>
      </c>
      <c r="K272">
        <v>584</v>
      </c>
      <c r="L272">
        <v>4.2</v>
      </c>
      <c r="M272">
        <v>54</v>
      </c>
      <c r="N272">
        <v>21</v>
      </c>
      <c r="O272">
        <v>9</v>
      </c>
      <c r="P272">
        <v>1</v>
      </c>
      <c r="Q272">
        <v>9</v>
      </c>
      <c r="R272">
        <v>2017</v>
      </c>
      <c r="S272">
        <v>27.272727270000001</v>
      </c>
      <c r="T272">
        <v>2288</v>
      </c>
      <c r="U272">
        <v>148.7785714</v>
      </c>
      <c r="V272">
        <v>4.2</v>
      </c>
      <c r="W272">
        <v>14.041111109999999</v>
      </c>
      <c r="X272">
        <v>148.7785714</v>
      </c>
      <c r="Y272">
        <v>4.2</v>
      </c>
      <c r="Z272">
        <v>14.041111109999999</v>
      </c>
      <c r="AA272">
        <v>164.57</v>
      </c>
      <c r="AB272">
        <v>3.8</v>
      </c>
      <c r="AC272">
        <v>19.527999999999999</v>
      </c>
      <c r="AD272">
        <v>160.66923080000001</v>
      </c>
      <c r="AE272">
        <f>Table1[[#This Row],[total_price]]/Table1[[#This Row],[qty]]</f>
        <v>153.47222222222223</v>
      </c>
      <c r="AF272">
        <f t="shared" si="4"/>
        <v>160.66923076923075</v>
      </c>
      <c r="AG272">
        <f>IF(ROW()=2, "", AVERAGE(D$2:D271))</f>
        <v>15.955555555555556</v>
      </c>
    </row>
    <row r="273" spans="1:33" x14ac:dyDescent="0.25">
      <c r="A273" t="s">
        <v>59</v>
      </c>
      <c r="B273" t="s">
        <v>55</v>
      </c>
      <c r="C273" s="1">
        <v>42745</v>
      </c>
      <c r="D273">
        <v>1</v>
      </c>
      <c r="E273">
        <v>134.9</v>
      </c>
      <c r="F273">
        <v>6.81</v>
      </c>
      <c r="G273">
        <v>134.9</v>
      </c>
      <c r="H273">
        <v>33</v>
      </c>
      <c r="I273">
        <v>523</v>
      </c>
      <c r="J273">
        <v>3</v>
      </c>
      <c r="K273">
        <v>584</v>
      </c>
      <c r="L273">
        <v>4.2</v>
      </c>
      <c r="M273">
        <v>43</v>
      </c>
      <c r="N273">
        <v>22</v>
      </c>
      <c r="O273">
        <v>9</v>
      </c>
      <c r="P273">
        <v>2</v>
      </c>
      <c r="Q273">
        <v>10</v>
      </c>
      <c r="R273">
        <v>2017</v>
      </c>
      <c r="S273">
        <v>1.5151515149999999</v>
      </c>
      <c r="T273">
        <v>2288</v>
      </c>
      <c r="U273">
        <v>134.9</v>
      </c>
      <c r="V273">
        <v>4.2</v>
      </c>
      <c r="W273">
        <v>6.81</v>
      </c>
      <c r="X273">
        <v>134.9</v>
      </c>
      <c r="Y273">
        <v>4.2</v>
      </c>
      <c r="Z273">
        <v>6.81</v>
      </c>
      <c r="AA273">
        <v>232.49</v>
      </c>
      <c r="AB273">
        <v>3.8</v>
      </c>
      <c r="AC273">
        <v>14.2125</v>
      </c>
      <c r="AD273">
        <v>148.7785714</v>
      </c>
      <c r="AE273">
        <f>Table1[[#This Row],[total_price]]/Table1[[#This Row],[qty]]</f>
        <v>134.9</v>
      </c>
      <c r="AF273">
        <f t="shared" si="4"/>
        <v>153.47222222222223</v>
      </c>
      <c r="AG273">
        <f>IF(ROW()=2, "", AVERAGE(D$2:D272))</f>
        <v>15.963099630996309</v>
      </c>
    </row>
    <row r="274" spans="1:33" x14ac:dyDescent="0.25">
      <c r="A274" t="s">
        <v>59</v>
      </c>
      <c r="B274" t="s">
        <v>55</v>
      </c>
      <c r="C274" s="1">
        <v>42746</v>
      </c>
      <c r="D274">
        <v>15</v>
      </c>
      <c r="E274">
        <v>1995</v>
      </c>
      <c r="F274">
        <v>19.916666670000001</v>
      </c>
      <c r="G274">
        <v>133</v>
      </c>
      <c r="H274">
        <v>33</v>
      </c>
      <c r="I274">
        <v>523</v>
      </c>
      <c r="J274">
        <v>3</v>
      </c>
      <c r="K274">
        <v>584</v>
      </c>
      <c r="L274">
        <v>4.2</v>
      </c>
      <c r="M274">
        <v>91</v>
      </c>
      <c r="N274">
        <v>22</v>
      </c>
      <c r="O274">
        <v>8</v>
      </c>
      <c r="P274">
        <v>4</v>
      </c>
      <c r="Q274">
        <v>11</v>
      </c>
      <c r="R274">
        <v>2017</v>
      </c>
      <c r="S274">
        <v>22.727272729999999</v>
      </c>
      <c r="T274">
        <v>2288</v>
      </c>
      <c r="U274">
        <v>133</v>
      </c>
      <c r="V274">
        <v>4.2</v>
      </c>
      <c r="W274">
        <v>19.916666670000001</v>
      </c>
      <c r="X274">
        <v>108</v>
      </c>
      <c r="Y274">
        <v>4.2</v>
      </c>
      <c r="Z274">
        <v>15.908461539999999</v>
      </c>
      <c r="AA274">
        <v>174.43333329999999</v>
      </c>
      <c r="AB274">
        <v>3.8</v>
      </c>
      <c r="AC274">
        <v>20.992777780000001</v>
      </c>
      <c r="AD274">
        <v>134.9</v>
      </c>
      <c r="AE274">
        <f>Table1[[#This Row],[total_price]]/Table1[[#This Row],[qty]]</f>
        <v>133</v>
      </c>
      <c r="AF274">
        <f t="shared" si="4"/>
        <v>134.9</v>
      </c>
      <c r="AG274">
        <f>IF(ROW()=2, "", AVERAGE(D$2:D273))</f>
        <v>15.908088235294118</v>
      </c>
    </row>
    <row r="275" spans="1:33" x14ac:dyDescent="0.25">
      <c r="A275" t="s">
        <v>59</v>
      </c>
      <c r="B275" t="s">
        <v>55</v>
      </c>
      <c r="C275" s="1">
        <v>42747</v>
      </c>
      <c r="D275">
        <v>4</v>
      </c>
      <c r="E275">
        <v>596</v>
      </c>
      <c r="F275">
        <v>19.100000000000001</v>
      </c>
      <c r="G275">
        <v>149</v>
      </c>
      <c r="H275">
        <v>33</v>
      </c>
      <c r="I275">
        <v>523</v>
      </c>
      <c r="J275">
        <v>3</v>
      </c>
      <c r="K275">
        <v>584</v>
      </c>
      <c r="L275">
        <v>4.2</v>
      </c>
      <c r="M275">
        <v>73</v>
      </c>
      <c r="N275">
        <v>21</v>
      </c>
      <c r="O275">
        <v>10</v>
      </c>
      <c r="P275">
        <v>1</v>
      </c>
      <c r="Q275">
        <v>12</v>
      </c>
      <c r="R275">
        <v>2017</v>
      </c>
      <c r="S275">
        <v>6.0606060609999997</v>
      </c>
      <c r="T275">
        <v>2288</v>
      </c>
      <c r="U275">
        <v>149</v>
      </c>
      <c r="V275">
        <v>4.2</v>
      </c>
      <c r="W275">
        <v>19.100000000000001</v>
      </c>
      <c r="X275">
        <v>108</v>
      </c>
      <c r="Y275">
        <v>4.2</v>
      </c>
      <c r="Z275">
        <v>16.65384615</v>
      </c>
      <c r="AA275">
        <v>185.96</v>
      </c>
      <c r="AB275">
        <v>3.8</v>
      </c>
      <c r="AC275">
        <v>18.686</v>
      </c>
      <c r="AD275">
        <v>133</v>
      </c>
      <c r="AE275">
        <f>Table1[[#This Row],[total_price]]/Table1[[#This Row],[qty]]</f>
        <v>149</v>
      </c>
      <c r="AF275">
        <f t="shared" si="4"/>
        <v>133</v>
      </c>
      <c r="AG275">
        <f>IF(ROW()=2, "", AVERAGE(D$2:D274))</f>
        <v>15.904761904761905</v>
      </c>
    </row>
    <row r="276" spans="1:33" x14ac:dyDescent="0.25">
      <c r="A276" t="s">
        <v>59</v>
      </c>
      <c r="B276" t="s">
        <v>55</v>
      </c>
      <c r="C276" s="1">
        <v>43102</v>
      </c>
      <c r="D276">
        <v>6</v>
      </c>
      <c r="E276">
        <v>769.45</v>
      </c>
      <c r="F276">
        <v>15.926666669999999</v>
      </c>
      <c r="G276">
        <v>128.2416667</v>
      </c>
      <c r="H276">
        <v>33</v>
      </c>
      <c r="I276">
        <v>523</v>
      </c>
      <c r="J276">
        <v>3</v>
      </c>
      <c r="K276">
        <v>584</v>
      </c>
      <c r="L276">
        <v>4.2</v>
      </c>
      <c r="M276">
        <v>90</v>
      </c>
      <c r="N276">
        <v>20</v>
      </c>
      <c r="O276">
        <v>8</v>
      </c>
      <c r="P276">
        <v>2</v>
      </c>
      <c r="Q276">
        <v>2</v>
      </c>
      <c r="R276">
        <v>2018</v>
      </c>
      <c r="S276">
        <v>2.3346303499999999</v>
      </c>
      <c r="T276">
        <v>2288</v>
      </c>
      <c r="U276">
        <v>128.2416667</v>
      </c>
      <c r="V276">
        <v>4.2</v>
      </c>
      <c r="W276">
        <v>15.926666669999999</v>
      </c>
      <c r="X276">
        <v>108</v>
      </c>
      <c r="Y276">
        <v>4.2</v>
      </c>
      <c r="Z276">
        <v>18.253636360000002</v>
      </c>
      <c r="AA276">
        <v>182</v>
      </c>
      <c r="AB276">
        <v>3.8</v>
      </c>
      <c r="AC276">
        <v>19.329999999999998</v>
      </c>
      <c r="AD276">
        <v>128.19166670000001</v>
      </c>
      <c r="AE276">
        <f>Table1[[#This Row],[total_price]]/Table1[[#This Row],[qty]]</f>
        <v>128.24166666666667</v>
      </c>
      <c r="AF276">
        <f t="shared" si="4"/>
        <v>149</v>
      </c>
      <c r="AG276">
        <f>IF(ROW()=2, "", AVERAGE(D$2:D275))</f>
        <v>15.861313868613138</v>
      </c>
    </row>
    <row r="277" spans="1:33" x14ac:dyDescent="0.25">
      <c r="A277" t="s">
        <v>59</v>
      </c>
      <c r="B277" t="s">
        <v>55</v>
      </c>
      <c r="C277" s="1">
        <v>43103</v>
      </c>
      <c r="D277">
        <v>31</v>
      </c>
      <c r="E277">
        <v>3640.68</v>
      </c>
      <c r="F277">
        <v>18.261290320000001</v>
      </c>
      <c r="G277">
        <v>117.44129030000001</v>
      </c>
      <c r="H277">
        <v>33</v>
      </c>
      <c r="I277">
        <v>523</v>
      </c>
      <c r="J277">
        <v>3</v>
      </c>
      <c r="K277">
        <v>584</v>
      </c>
      <c r="L277">
        <v>4.2</v>
      </c>
      <c r="M277">
        <v>125</v>
      </c>
      <c r="N277">
        <v>22</v>
      </c>
      <c r="O277">
        <v>9</v>
      </c>
      <c r="P277">
        <v>1</v>
      </c>
      <c r="Q277">
        <v>3</v>
      </c>
      <c r="R277">
        <v>2018</v>
      </c>
      <c r="S277">
        <v>12.062256809999999</v>
      </c>
      <c r="T277">
        <v>2288</v>
      </c>
      <c r="U277">
        <v>117.44129030000001</v>
      </c>
      <c r="V277">
        <v>4.2</v>
      </c>
      <c r="W277">
        <v>18.261290320000001</v>
      </c>
      <c r="X277">
        <v>105.6428571</v>
      </c>
      <c r="Y277">
        <v>4.2</v>
      </c>
      <c r="Z277">
        <v>21.6652381</v>
      </c>
      <c r="AA277">
        <v>151.87843749999999</v>
      </c>
      <c r="AB277">
        <v>3.8</v>
      </c>
      <c r="AC277">
        <v>20.313749999999999</v>
      </c>
      <c r="AD277">
        <v>128.2416667</v>
      </c>
      <c r="AE277">
        <f>Table1[[#This Row],[total_price]]/Table1[[#This Row],[qty]]</f>
        <v>117.44129032258064</v>
      </c>
      <c r="AF277">
        <f t="shared" si="4"/>
        <v>128.24166666666667</v>
      </c>
      <c r="AG277">
        <f>IF(ROW()=2, "", AVERAGE(D$2:D276))</f>
        <v>15.825454545454546</v>
      </c>
    </row>
    <row r="278" spans="1:33" x14ac:dyDescent="0.25">
      <c r="A278" t="s">
        <v>59</v>
      </c>
      <c r="B278" t="s">
        <v>55</v>
      </c>
      <c r="C278" s="1">
        <v>43104</v>
      </c>
      <c r="D278">
        <v>85</v>
      </c>
      <c r="E278">
        <v>8961.49</v>
      </c>
      <c r="F278">
        <v>2.1816470589999999</v>
      </c>
      <c r="G278">
        <v>105.648625</v>
      </c>
      <c r="H278">
        <v>33</v>
      </c>
      <c r="I278">
        <v>523</v>
      </c>
      <c r="J278">
        <v>3</v>
      </c>
      <c r="K278">
        <v>584</v>
      </c>
      <c r="L278">
        <v>4.2</v>
      </c>
      <c r="M278">
        <v>178</v>
      </c>
      <c r="N278">
        <v>21</v>
      </c>
      <c r="O278">
        <v>9</v>
      </c>
      <c r="P278">
        <v>1</v>
      </c>
      <c r="Q278">
        <v>4</v>
      </c>
      <c r="R278">
        <v>2018</v>
      </c>
      <c r="S278">
        <v>33.073929960000001</v>
      </c>
      <c r="T278">
        <v>2288</v>
      </c>
      <c r="U278">
        <v>105.648625</v>
      </c>
      <c r="V278">
        <v>4.2</v>
      </c>
      <c r="W278">
        <v>2.1816470589999999</v>
      </c>
      <c r="X278">
        <v>105</v>
      </c>
      <c r="Y278">
        <v>4.2</v>
      </c>
      <c r="Z278">
        <v>13.631428570000001</v>
      </c>
      <c r="AA278">
        <v>150.1333333</v>
      </c>
      <c r="AB278">
        <v>3.8</v>
      </c>
      <c r="AC278">
        <v>19.447777779999999</v>
      </c>
      <c r="AD278">
        <v>117.44129030000001</v>
      </c>
      <c r="AE278">
        <f>Table1[[#This Row],[total_price]]/Table1[[#This Row],[qty]]</f>
        <v>105.42929411764706</v>
      </c>
      <c r="AF278">
        <f t="shared" si="4"/>
        <v>117.44129032258064</v>
      </c>
      <c r="AG278">
        <f>IF(ROW()=2, "", AVERAGE(D$2:D277))</f>
        <v>15.880434782608695</v>
      </c>
    </row>
    <row r="279" spans="1:33" x14ac:dyDescent="0.25">
      <c r="A279" t="s">
        <v>59</v>
      </c>
      <c r="B279" t="s">
        <v>55</v>
      </c>
      <c r="C279" s="1">
        <v>43105</v>
      </c>
      <c r="D279">
        <v>114</v>
      </c>
      <c r="E279">
        <v>11820.2</v>
      </c>
      <c r="F279">
        <v>9.5438596000000001E-2</v>
      </c>
      <c r="G279">
        <v>103.79252339999999</v>
      </c>
      <c r="H279">
        <v>33</v>
      </c>
      <c r="I279">
        <v>523</v>
      </c>
      <c r="J279">
        <v>3</v>
      </c>
      <c r="K279">
        <v>584</v>
      </c>
      <c r="L279">
        <v>4.2</v>
      </c>
      <c r="M279">
        <v>260</v>
      </c>
      <c r="N279">
        <v>23</v>
      </c>
      <c r="O279">
        <v>8</v>
      </c>
      <c r="P279">
        <v>3</v>
      </c>
      <c r="Q279">
        <v>5</v>
      </c>
      <c r="R279">
        <v>2018</v>
      </c>
      <c r="S279">
        <v>44.357976649999998</v>
      </c>
      <c r="T279">
        <v>2288</v>
      </c>
      <c r="U279">
        <v>103.79252339999999</v>
      </c>
      <c r="V279">
        <v>4.2</v>
      </c>
      <c r="W279">
        <v>9.5438596000000001E-2</v>
      </c>
      <c r="X279">
        <v>105</v>
      </c>
      <c r="Y279">
        <v>4.2</v>
      </c>
      <c r="Z279">
        <v>11.3772973</v>
      </c>
      <c r="AA279">
        <v>132.53125</v>
      </c>
      <c r="AB279">
        <v>3.8</v>
      </c>
      <c r="AC279">
        <v>15.7621875</v>
      </c>
      <c r="AD279">
        <v>105.648625</v>
      </c>
      <c r="AE279">
        <f>Table1[[#This Row],[total_price]]/Table1[[#This Row],[qty]]</f>
        <v>103.68596491228071</v>
      </c>
      <c r="AF279">
        <f t="shared" si="4"/>
        <v>105.42929411764706</v>
      </c>
      <c r="AG279">
        <f>IF(ROW()=2, "", AVERAGE(D$2:D278))</f>
        <v>16.129963898916966</v>
      </c>
    </row>
    <row r="280" spans="1:33" x14ac:dyDescent="0.25">
      <c r="A280" t="s">
        <v>59</v>
      </c>
      <c r="B280" t="s">
        <v>55</v>
      </c>
      <c r="C280" s="1">
        <v>43106</v>
      </c>
      <c r="D280">
        <v>9</v>
      </c>
      <c r="E280">
        <v>1071</v>
      </c>
      <c r="F280">
        <v>19.206666670000001</v>
      </c>
      <c r="G280">
        <v>119</v>
      </c>
      <c r="H280">
        <v>33</v>
      </c>
      <c r="I280">
        <v>523</v>
      </c>
      <c r="J280">
        <v>3</v>
      </c>
      <c r="K280">
        <v>584</v>
      </c>
      <c r="L280">
        <v>4.2</v>
      </c>
      <c r="M280">
        <v>93</v>
      </c>
      <c r="N280">
        <v>21</v>
      </c>
      <c r="O280">
        <v>9</v>
      </c>
      <c r="P280">
        <v>0</v>
      </c>
      <c r="Q280">
        <v>6</v>
      </c>
      <c r="R280">
        <v>2018</v>
      </c>
      <c r="S280">
        <v>4.7812757929999998</v>
      </c>
      <c r="T280">
        <v>2288</v>
      </c>
      <c r="U280">
        <v>119</v>
      </c>
      <c r="V280">
        <v>4.2</v>
      </c>
      <c r="W280">
        <v>19.206666670000001</v>
      </c>
      <c r="X280">
        <v>105</v>
      </c>
      <c r="Y280">
        <v>4.2</v>
      </c>
      <c r="Z280">
        <v>23.823571430000001</v>
      </c>
      <c r="AA280">
        <v>138.22</v>
      </c>
      <c r="AB280">
        <v>3.8</v>
      </c>
      <c r="AC280">
        <v>16.108000000000001</v>
      </c>
      <c r="AD280">
        <v>103.79252339999999</v>
      </c>
      <c r="AE280">
        <f>Table1[[#This Row],[total_price]]/Table1[[#This Row],[qty]]</f>
        <v>119</v>
      </c>
      <c r="AF280">
        <f t="shared" si="4"/>
        <v>103.68596491228071</v>
      </c>
      <c r="AG280">
        <f>IF(ROW()=2, "", AVERAGE(D$2:D279))</f>
        <v>16.482014388489208</v>
      </c>
    </row>
    <row r="281" spans="1:33" x14ac:dyDescent="0.25">
      <c r="A281" t="s">
        <v>59</v>
      </c>
      <c r="B281" t="s">
        <v>55</v>
      </c>
      <c r="C281" s="1">
        <v>43107</v>
      </c>
      <c r="D281">
        <v>11</v>
      </c>
      <c r="E281">
        <v>1302</v>
      </c>
      <c r="F281">
        <v>15.48</v>
      </c>
      <c r="G281">
        <v>118.3636364</v>
      </c>
      <c r="H281">
        <v>33</v>
      </c>
      <c r="I281">
        <v>523</v>
      </c>
      <c r="J281">
        <v>3</v>
      </c>
      <c r="K281">
        <v>584</v>
      </c>
      <c r="L281">
        <v>4.2</v>
      </c>
      <c r="M281">
        <v>122</v>
      </c>
      <c r="N281">
        <v>22</v>
      </c>
      <c r="O281">
        <v>9</v>
      </c>
      <c r="P281">
        <v>1</v>
      </c>
      <c r="Q281">
        <v>7</v>
      </c>
      <c r="R281">
        <v>2018</v>
      </c>
      <c r="S281">
        <v>10.47341115</v>
      </c>
      <c r="T281">
        <v>2288</v>
      </c>
      <c r="U281">
        <v>118.3636364</v>
      </c>
      <c r="V281">
        <v>4.2</v>
      </c>
      <c r="W281">
        <v>15.48</v>
      </c>
      <c r="X281">
        <v>105</v>
      </c>
      <c r="Y281">
        <v>4.2</v>
      </c>
      <c r="Z281">
        <v>24.938749999999999</v>
      </c>
      <c r="AA281">
        <v>155</v>
      </c>
      <c r="AB281">
        <v>3.8</v>
      </c>
      <c r="AC281">
        <v>16.47</v>
      </c>
      <c r="AD281">
        <v>119</v>
      </c>
      <c r="AE281">
        <f>Table1[[#This Row],[total_price]]/Table1[[#This Row],[qty]]</f>
        <v>118.36363636363636</v>
      </c>
      <c r="AF281">
        <f t="shared" si="4"/>
        <v>119</v>
      </c>
      <c r="AG281">
        <f>IF(ROW()=2, "", AVERAGE(D$2:D280))</f>
        <v>16.455197132616487</v>
      </c>
    </row>
    <row r="282" spans="1:33" x14ac:dyDescent="0.25">
      <c r="A282" t="s">
        <v>59</v>
      </c>
      <c r="B282" t="s">
        <v>55</v>
      </c>
      <c r="C282" s="1">
        <v>43108</v>
      </c>
      <c r="D282">
        <v>1</v>
      </c>
      <c r="E282">
        <v>112</v>
      </c>
      <c r="F282">
        <v>13.44</v>
      </c>
      <c r="G282">
        <v>112</v>
      </c>
      <c r="H282">
        <v>33</v>
      </c>
      <c r="I282">
        <v>523</v>
      </c>
      <c r="J282">
        <v>3</v>
      </c>
      <c r="K282">
        <v>584</v>
      </c>
      <c r="L282">
        <v>4.2</v>
      </c>
      <c r="M282">
        <v>61</v>
      </c>
      <c r="N282">
        <v>23</v>
      </c>
      <c r="O282">
        <v>8</v>
      </c>
      <c r="P282">
        <v>1</v>
      </c>
      <c r="Q282">
        <v>8</v>
      </c>
      <c r="R282">
        <v>2018</v>
      </c>
      <c r="S282">
        <v>10.043037379999999</v>
      </c>
      <c r="T282">
        <v>2288</v>
      </c>
      <c r="U282">
        <v>112</v>
      </c>
      <c r="V282">
        <v>4.2</v>
      </c>
      <c r="W282">
        <v>13.44</v>
      </c>
      <c r="X282">
        <v>105</v>
      </c>
      <c r="Y282">
        <v>4.2</v>
      </c>
      <c r="Z282">
        <v>23.385714289999999</v>
      </c>
      <c r="AA282">
        <v>145.55090910000001</v>
      </c>
      <c r="AB282">
        <v>3.8</v>
      </c>
      <c r="AC282">
        <v>21.897272730000001</v>
      </c>
      <c r="AD282">
        <v>118.3636364</v>
      </c>
      <c r="AE282">
        <f>Table1[[#This Row],[total_price]]/Table1[[#This Row],[qty]]</f>
        <v>112</v>
      </c>
      <c r="AF282">
        <f t="shared" si="4"/>
        <v>118.36363636363636</v>
      </c>
      <c r="AG282">
        <f>IF(ROW()=2, "", AVERAGE(D$2:D281))</f>
        <v>16.435714285714287</v>
      </c>
    </row>
    <row r="283" spans="1:33" x14ac:dyDescent="0.25">
      <c r="A283" t="s">
        <v>60</v>
      </c>
      <c r="B283" t="s">
        <v>40</v>
      </c>
      <c r="C283" s="1">
        <v>42744</v>
      </c>
      <c r="D283">
        <v>1</v>
      </c>
      <c r="E283">
        <v>29.5</v>
      </c>
      <c r="F283">
        <v>11.73</v>
      </c>
      <c r="G283">
        <v>29.5</v>
      </c>
      <c r="H283">
        <v>57</v>
      </c>
      <c r="I283">
        <v>787</v>
      </c>
      <c r="J283">
        <v>8</v>
      </c>
      <c r="K283">
        <v>1867</v>
      </c>
      <c r="L283">
        <v>4.4000000000000004</v>
      </c>
      <c r="M283">
        <v>10</v>
      </c>
      <c r="N283">
        <v>21</v>
      </c>
      <c r="O283">
        <v>9</v>
      </c>
      <c r="P283">
        <v>1</v>
      </c>
      <c r="Q283">
        <v>9</v>
      </c>
      <c r="R283">
        <v>2017</v>
      </c>
      <c r="S283">
        <v>100</v>
      </c>
      <c r="T283">
        <v>7776</v>
      </c>
      <c r="U283">
        <v>99.99</v>
      </c>
      <c r="V283">
        <v>4.2</v>
      </c>
      <c r="W283">
        <v>15.93333333</v>
      </c>
      <c r="X283">
        <v>29.5</v>
      </c>
      <c r="Y283">
        <v>4.4000000000000004</v>
      </c>
      <c r="Z283">
        <v>11.73</v>
      </c>
      <c r="AA283">
        <v>29.5</v>
      </c>
      <c r="AB283">
        <v>4.4000000000000004</v>
      </c>
      <c r="AC283">
        <v>11.73</v>
      </c>
      <c r="AD283">
        <v>29.45</v>
      </c>
      <c r="AE283">
        <f>Table1[[#This Row],[total_price]]/Table1[[#This Row],[qty]]</f>
        <v>29.5</v>
      </c>
      <c r="AF283" t="str">
        <f t="shared" si="4"/>
        <v/>
      </c>
      <c r="AG283">
        <f>IF(ROW()=2, "", AVERAGE(D$2:D282))</f>
        <v>16.380782918149468</v>
      </c>
    </row>
    <row r="284" spans="1:33" x14ac:dyDescent="0.25">
      <c r="A284" t="s">
        <v>60</v>
      </c>
      <c r="B284" t="s">
        <v>40</v>
      </c>
      <c r="C284" s="1">
        <v>43101</v>
      </c>
      <c r="D284">
        <v>76</v>
      </c>
      <c r="E284">
        <v>2242</v>
      </c>
      <c r="F284">
        <v>16.53263158</v>
      </c>
      <c r="G284">
        <v>29.5</v>
      </c>
      <c r="H284">
        <v>57</v>
      </c>
      <c r="I284">
        <v>787</v>
      </c>
      <c r="J284">
        <v>8</v>
      </c>
      <c r="K284">
        <v>1867</v>
      </c>
      <c r="L284">
        <v>4.4000000000000004</v>
      </c>
      <c r="M284">
        <v>102</v>
      </c>
      <c r="N284">
        <v>23</v>
      </c>
      <c r="O284">
        <v>8</v>
      </c>
      <c r="P284">
        <v>2</v>
      </c>
      <c r="Q284">
        <v>1</v>
      </c>
      <c r="R284">
        <v>2018</v>
      </c>
      <c r="S284">
        <v>67.256637170000005</v>
      </c>
      <c r="T284">
        <v>7776</v>
      </c>
      <c r="U284">
        <v>99.99</v>
      </c>
      <c r="V284">
        <v>4.2</v>
      </c>
      <c r="W284">
        <v>16.54</v>
      </c>
      <c r="X284">
        <v>129.99</v>
      </c>
      <c r="Y284">
        <v>4.3</v>
      </c>
      <c r="Z284">
        <v>17.41</v>
      </c>
      <c r="AA284">
        <v>29.5</v>
      </c>
      <c r="AB284">
        <v>4.4000000000000004</v>
      </c>
      <c r="AC284">
        <v>16.53263158</v>
      </c>
      <c r="AD284">
        <v>29.45</v>
      </c>
      <c r="AE284">
        <f>Table1[[#This Row],[total_price]]/Table1[[#This Row],[qty]]</f>
        <v>29.5</v>
      </c>
      <c r="AF284">
        <f t="shared" si="4"/>
        <v>29.5</v>
      </c>
      <c r="AG284">
        <f>IF(ROW()=2, "", AVERAGE(D$2:D283))</f>
        <v>16.326241134751772</v>
      </c>
    </row>
    <row r="285" spans="1:33" x14ac:dyDescent="0.25">
      <c r="A285" t="s">
        <v>60</v>
      </c>
      <c r="B285" t="s">
        <v>40</v>
      </c>
      <c r="C285" s="1">
        <v>43103</v>
      </c>
      <c r="D285">
        <v>26</v>
      </c>
      <c r="E285">
        <v>910</v>
      </c>
      <c r="F285">
        <v>16.25615385</v>
      </c>
      <c r="G285">
        <v>35</v>
      </c>
      <c r="H285">
        <v>57</v>
      </c>
      <c r="I285">
        <v>787</v>
      </c>
      <c r="J285">
        <v>8</v>
      </c>
      <c r="K285">
        <v>1867</v>
      </c>
      <c r="L285">
        <v>4.4000000000000004</v>
      </c>
      <c r="M285">
        <v>45</v>
      </c>
      <c r="N285">
        <v>22</v>
      </c>
      <c r="O285">
        <v>9</v>
      </c>
      <c r="P285">
        <v>1</v>
      </c>
      <c r="Q285">
        <v>3</v>
      </c>
      <c r="R285">
        <v>2018</v>
      </c>
      <c r="S285">
        <v>23.008849560000002</v>
      </c>
      <c r="T285">
        <v>7776</v>
      </c>
      <c r="U285">
        <v>99.99</v>
      </c>
      <c r="V285">
        <v>4.2</v>
      </c>
      <c r="W285">
        <v>20.78</v>
      </c>
      <c r="X285">
        <v>129.99</v>
      </c>
      <c r="Y285">
        <v>4.3</v>
      </c>
      <c r="Z285">
        <v>18.489999999999998</v>
      </c>
      <c r="AA285">
        <v>35</v>
      </c>
      <c r="AB285">
        <v>4.4000000000000004</v>
      </c>
      <c r="AC285">
        <v>16.25615385</v>
      </c>
      <c r="AD285">
        <v>34.950000000000003</v>
      </c>
      <c r="AE285">
        <f>Table1[[#This Row],[total_price]]/Table1[[#This Row],[qty]]</f>
        <v>35</v>
      </c>
      <c r="AF285">
        <f t="shared" si="4"/>
        <v>29.5</v>
      </c>
      <c r="AG285">
        <f>IF(ROW()=2, "", AVERAGE(D$2:D284))</f>
        <v>16.537102473498233</v>
      </c>
    </row>
    <row r="286" spans="1:33" x14ac:dyDescent="0.25">
      <c r="A286" t="s">
        <v>60</v>
      </c>
      <c r="B286" t="s">
        <v>40</v>
      </c>
      <c r="C286" s="1">
        <v>43104</v>
      </c>
      <c r="D286">
        <v>4</v>
      </c>
      <c r="E286">
        <v>140</v>
      </c>
      <c r="F286">
        <v>14.845000000000001</v>
      </c>
      <c r="G286">
        <v>35</v>
      </c>
      <c r="H286">
        <v>57</v>
      </c>
      <c r="I286">
        <v>787</v>
      </c>
      <c r="J286">
        <v>8</v>
      </c>
      <c r="K286">
        <v>1867</v>
      </c>
      <c r="L286">
        <v>4.4000000000000004</v>
      </c>
      <c r="M286">
        <v>18</v>
      </c>
      <c r="N286">
        <v>21</v>
      </c>
      <c r="O286">
        <v>9</v>
      </c>
      <c r="P286">
        <v>1</v>
      </c>
      <c r="Q286">
        <v>4</v>
      </c>
      <c r="R286">
        <v>2018</v>
      </c>
      <c r="S286">
        <v>3.539823009</v>
      </c>
      <c r="T286">
        <v>7776</v>
      </c>
      <c r="U286">
        <v>89.863333330000003</v>
      </c>
      <c r="V286">
        <v>4.2</v>
      </c>
      <c r="W286">
        <v>19.876666669999999</v>
      </c>
      <c r="X286">
        <v>129.99</v>
      </c>
      <c r="Y286">
        <v>4.3</v>
      </c>
      <c r="Z286">
        <v>23.49</v>
      </c>
      <c r="AA286">
        <v>35</v>
      </c>
      <c r="AB286">
        <v>4.4000000000000004</v>
      </c>
      <c r="AC286">
        <v>14.845000000000001</v>
      </c>
      <c r="AD286">
        <v>35</v>
      </c>
      <c r="AE286">
        <f>Table1[[#This Row],[total_price]]/Table1[[#This Row],[qty]]</f>
        <v>35</v>
      </c>
      <c r="AF286">
        <f t="shared" si="4"/>
        <v>35</v>
      </c>
      <c r="AG286">
        <f>IF(ROW()=2, "", AVERAGE(D$2:D285))</f>
        <v>16.570422535211268</v>
      </c>
    </row>
    <row r="287" spans="1:33" x14ac:dyDescent="0.25">
      <c r="A287" t="s">
        <v>60</v>
      </c>
      <c r="B287" t="s">
        <v>40</v>
      </c>
      <c r="C287" s="1">
        <v>43105</v>
      </c>
      <c r="D287">
        <v>4</v>
      </c>
      <c r="E287">
        <v>140</v>
      </c>
      <c r="F287">
        <v>13.637499999999999</v>
      </c>
      <c r="G287">
        <v>35</v>
      </c>
      <c r="H287">
        <v>57</v>
      </c>
      <c r="I287">
        <v>787</v>
      </c>
      <c r="J287">
        <v>8</v>
      </c>
      <c r="K287">
        <v>1867</v>
      </c>
      <c r="L287">
        <v>4.4000000000000004</v>
      </c>
      <c r="M287">
        <v>4</v>
      </c>
      <c r="N287">
        <v>23</v>
      </c>
      <c r="O287">
        <v>8</v>
      </c>
      <c r="P287">
        <v>3</v>
      </c>
      <c r="Q287">
        <v>5</v>
      </c>
      <c r="R287">
        <v>2018</v>
      </c>
      <c r="S287">
        <v>3.539823009</v>
      </c>
      <c r="T287">
        <v>7776</v>
      </c>
      <c r="U287">
        <v>35</v>
      </c>
      <c r="V287">
        <v>4.4000000000000004</v>
      </c>
      <c r="W287">
        <v>13.637499999999999</v>
      </c>
      <c r="X287">
        <v>35</v>
      </c>
      <c r="Y287">
        <v>4.4000000000000004</v>
      </c>
      <c r="Z287">
        <v>13.637499999999999</v>
      </c>
      <c r="AA287">
        <v>35</v>
      </c>
      <c r="AB287">
        <v>4.4000000000000004</v>
      </c>
      <c r="AC287">
        <v>13.637499999999999</v>
      </c>
      <c r="AD287">
        <v>35</v>
      </c>
      <c r="AE287">
        <f>Table1[[#This Row],[total_price]]/Table1[[#This Row],[qty]]</f>
        <v>35</v>
      </c>
      <c r="AF287">
        <f t="shared" si="4"/>
        <v>35</v>
      </c>
      <c r="AG287">
        <f>IF(ROW()=2, "", AVERAGE(D$2:D286))</f>
        <v>16.526315789473685</v>
      </c>
    </row>
    <row r="288" spans="1:33" x14ac:dyDescent="0.25">
      <c r="A288" t="s">
        <v>60</v>
      </c>
      <c r="B288" t="s">
        <v>40</v>
      </c>
      <c r="C288" s="1">
        <v>43106</v>
      </c>
      <c r="D288">
        <v>2</v>
      </c>
      <c r="E288">
        <v>130</v>
      </c>
      <c r="F288">
        <v>15.01</v>
      </c>
      <c r="G288">
        <v>65</v>
      </c>
      <c r="H288">
        <v>57</v>
      </c>
      <c r="I288">
        <v>787</v>
      </c>
      <c r="J288">
        <v>8</v>
      </c>
      <c r="K288">
        <v>1867</v>
      </c>
      <c r="L288">
        <v>4.4000000000000004</v>
      </c>
      <c r="M288">
        <v>2</v>
      </c>
      <c r="N288">
        <v>21</v>
      </c>
      <c r="O288">
        <v>9</v>
      </c>
      <c r="P288">
        <v>0</v>
      </c>
      <c r="Q288">
        <v>6</v>
      </c>
      <c r="R288">
        <v>2018</v>
      </c>
      <c r="S288">
        <v>1.769911504</v>
      </c>
      <c r="T288">
        <v>7776</v>
      </c>
      <c r="U288">
        <v>65</v>
      </c>
      <c r="V288">
        <v>4.4000000000000004</v>
      </c>
      <c r="W288">
        <v>15.01</v>
      </c>
      <c r="X288">
        <v>65</v>
      </c>
      <c r="Y288">
        <v>4.4000000000000004</v>
      </c>
      <c r="Z288">
        <v>15.01</v>
      </c>
      <c r="AA288">
        <v>65</v>
      </c>
      <c r="AB288">
        <v>4.4000000000000004</v>
      </c>
      <c r="AC288">
        <v>15.01</v>
      </c>
      <c r="AD288">
        <v>35</v>
      </c>
      <c r="AE288">
        <f>Table1[[#This Row],[total_price]]/Table1[[#This Row],[qty]]</f>
        <v>65</v>
      </c>
      <c r="AF288">
        <f t="shared" si="4"/>
        <v>35</v>
      </c>
      <c r="AG288">
        <f>IF(ROW()=2, "", AVERAGE(D$2:D287))</f>
        <v>16.482517482517483</v>
      </c>
    </row>
    <row r="289" spans="1:33" x14ac:dyDescent="0.25">
      <c r="A289" t="s">
        <v>60</v>
      </c>
      <c r="B289" t="s">
        <v>40</v>
      </c>
      <c r="C289" s="1">
        <v>43108</v>
      </c>
      <c r="D289">
        <v>1</v>
      </c>
      <c r="E289">
        <v>65</v>
      </c>
      <c r="F289">
        <v>57.23</v>
      </c>
      <c r="G289">
        <v>65</v>
      </c>
      <c r="H289">
        <v>57</v>
      </c>
      <c r="I289">
        <v>787</v>
      </c>
      <c r="J289">
        <v>8</v>
      </c>
      <c r="K289">
        <v>1867</v>
      </c>
      <c r="L289">
        <v>4.4000000000000004</v>
      </c>
      <c r="M289">
        <v>1</v>
      </c>
      <c r="N289">
        <v>23</v>
      </c>
      <c r="O289">
        <v>8</v>
      </c>
      <c r="P289">
        <v>1</v>
      </c>
      <c r="Q289">
        <v>8</v>
      </c>
      <c r="R289">
        <v>2018</v>
      </c>
      <c r="S289">
        <v>0.88495575199999998</v>
      </c>
      <c r="T289">
        <v>7776</v>
      </c>
      <c r="U289">
        <v>65</v>
      </c>
      <c r="V289">
        <v>4.4000000000000004</v>
      </c>
      <c r="W289">
        <v>57.23</v>
      </c>
      <c r="X289">
        <v>65</v>
      </c>
      <c r="Y289">
        <v>4.4000000000000004</v>
      </c>
      <c r="Z289">
        <v>57.23</v>
      </c>
      <c r="AA289">
        <v>65</v>
      </c>
      <c r="AB289">
        <v>4.4000000000000004</v>
      </c>
      <c r="AC289">
        <v>57.23</v>
      </c>
      <c r="AD289">
        <v>64.95</v>
      </c>
      <c r="AE289">
        <f>Table1[[#This Row],[total_price]]/Table1[[#This Row],[qty]]</f>
        <v>65</v>
      </c>
      <c r="AF289">
        <f t="shared" si="4"/>
        <v>65</v>
      </c>
      <c r="AG289">
        <f>IF(ROW()=2, "", AVERAGE(D$2:D288))</f>
        <v>16.432055749128921</v>
      </c>
    </row>
    <row r="290" spans="1:33" x14ac:dyDescent="0.25">
      <c r="A290" t="s">
        <v>61</v>
      </c>
      <c r="B290" t="s">
        <v>43</v>
      </c>
      <c r="C290" s="1">
        <v>42743</v>
      </c>
      <c r="D290">
        <v>1</v>
      </c>
      <c r="E290">
        <v>142.5</v>
      </c>
      <c r="F290">
        <v>15.75</v>
      </c>
      <c r="G290">
        <v>142.5</v>
      </c>
      <c r="H290">
        <v>29</v>
      </c>
      <c r="I290">
        <v>178</v>
      </c>
      <c r="J290">
        <v>1</v>
      </c>
      <c r="K290">
        <v>400</v>
      </c>
      <c r="L290">
        <v>4.4000000000000004</v>
      </c>
      <c r="M290">
        <v>8</v>
      </c>
      <c r="N290">
        <v>23</v>
      </c>
      <c r="O290">
        <v>8</v>
      </c>
      <c r="P290">
        <v>1</v>
      </c>
      <c r="Q290">
        <v>8</v>
      </c>
      <c r="R290">
        <v>2017</v>
      </c>
      <c r="S290">
        <v>12.449186989999999</v>
      </c>
      <c r="T290">
        <v>4693</v>
      </c>
      <c r="U290">
        <v>56.99</v>
      </c>
      <c r="V290">
        <v>4.3</v>
      </c>
      <c r="W290">
        <v>13.58857143</v>
      </c>
      <c r="X290">
        <v>142.5</v>
      </c>
      <c r="Y290">
        <v>4.4000000000000004</v>
      </c>
      <c r="Z290">
        <v>15.75</v>
      </c>
      <c r="AA290">
        <v>142.5</v>
      </c>
      <c r="AB290">
        <v>4.4000000000000004</v>
      </c>
      <c r="AC290">
        <v>15.75</v>
      </c>
      <c r="AD290">
        <v>142.44999999999999</v>
      </c>
      <c r="AE290">
        <f>Table1[[#This Row],[total_price]]/Table1[[#This Row],[qty]]</f>
        <v>142.5</v>
      </c>
      <c r="AF290" t="str">
        <f t="shared" si="4"/>
        <v/>
      </c>
      <c r="AG290">
        <f>IF(ROW()=2, "", AVERAGE(D$2:D289))</f>
        <v>16.378472222222221</v>
      </c>
    </row>
    <row r="291" spans="1:33" x14ac:dyDescent="0.25">
      <c r="A291" t="s">
        <v>61</v>
      </c>
      <c r="B291" t="s">
        <v>43</v>
      </c>
      <c r="C291" s="1">
        <v>42744</v>
      </c>
      <c r="D291">
        <v>1</v>
      </c>
      <c r="E291">
        <v>142.5</v>
      </c>
      <c r="F291">
        <v>9.19</v>
      </c>
      <c r="G291">
        <v>142.5</v>
      </c>
      <c r="H291">
        <v>29</v>
      </c>
      <c r="I291">
        <v>178</v>
      </c>
      <c r="J291">
        <v>1</v>
      </c>
      <c r="K291">
        <v>400</v>
      </c>
      <c r="L291">
        <v>4.4000000000000004</v>
      </c>
      <c r="M291">
        <v>18</v>
      </c>
      <c r="N291">
        <v>21</v>
      </c>
      <c r="O291">
        <v>9</v>
      </c>
      <c r="P291">
        <v>1</v>
      </c>
      <c r="Q291">
        <v>9</v>
      </c>
      <c r="R291">
        <v>2017</v>
      </c>
      <c r="S291">
        <v>4.1666666670000003</v>
      </c>
      <c r="T291">
        <v>4693</v>
      </c>
      <c r="U291">
        <v>56.99</v>
      </c>
      <c r="V291">
        <v>4.3</v>
      </c>
      <c r="W291">
        <v>13.741176469999999</v>
      </c>
      <c r="X291">
        <v>142.5</v>
      </c>
      <c r="Y291">
        <v>4.4000000000000004</v>
      </c>
      <c r="Z291">
        <v>9.19</v>
      </c>
      <c r="AA291">
        <v>142.5</v>
      </c>
      <c r="AB291">
        <v>4.4000000000000004</v>
      </c>
      <c r="AC291">
        <v>9.19</v>
      </c>
      <c r="AD291">
        <v>142.5</v>
      </c>
      <c r="AE291">
        <f>Table1[[#This Row],[total_price]]/Table1[[#This Row],[qty]]</f>
        <v>142.5</v>
      </c>
      <c r="AF291">
        <f t="shared" si="4"/>
        <v>142.5</v>
      </c>
      <c r="AG291">
        <f>IF(ROW()=2, "", AVERAGE(D$2:D290))</f>
        <v>16.325259515570934</v>
      </c>
    </row>
    <row r="292" spans="1:33" x14ac:dyDescent="0.25">
      <c r="A292" t="s">
        <v>61</v>
      </c>
      <c r="B292" t="s">
        <v>43</v>
      </c>
      <c r="C292" s="1">
        <v>42745</v>
      </c>
      <c r="D292">
        <v>2</v>
      </c>
      <c r="E292">
        <v>285</v>
      </c>
      <c r="F292">
        <v>17.149999999999999</v>
      </c>
      <c r="G292">
        <v>142.5</v>
      </c>
      <c r="H292">
        <v>29</v>
      </c>
      <c r="I292">
        <v>178</v>
      </c>
      <c r="J292">
        <v>1</v>
      </c>
      <c r="K292">
        <v>400</v>
      </c>
      <c r="L292">
        <v>4.4000000000000004</v>
      </c>
      <c r="M292">
        <v>19</v>
      </c>
      <c r="N292">
        <v>22</v>
      </c>
      <c r="O292">
        <v>9</v>
      </c>
      <c r="P292">
        <v>2</v>
      </c>
      <c r="Q292">
        <v>10</v>
      </c>
      <c r="R292">
        <v>2017</v>
      </c>
      <c r="S292">
        <v>8.3333333330000006</v>
      </c>
      <c r="T292">
        <v>4693</v>
      </c>
      <c r="U292">
        <v>56.99</v>
      </c>
      <c r="V292">
        <v>4.3</v>
      </c>
      <c r="W292">
        <v>12.29294118</v>
      </c>
      <c r="X292">
        <v>142.5</v>
      </c>
      <c r="Y292">
        <v>4.4000000000000004</v>
      </c>
      <c r="Z292">
        <v>17.149999999999999</v>
      </c>
      <c r="AA292">
        <v>142.5</v>
      </c>
      <c r="AB292">
        <v>4.4000000000000004</v>
      </c>
      <c r="AC292">
        <v>17.149999999999999</v>
      </c>
      <c r="AD292">
        <v>142.5</v>
      </c>
      <c r="AE292">
        <f>Table1[[#This Row],[total_price]]/Table1[[#This Row],[qty]]</f>
        <v>142.5</v>
      </c>
      <c r="AF292">
        <f t="shared" si="4"/>
        <v>142.5</v>
      </c>
      <c r="AG292">
        <f>IF(ROW()=2, "", AVERAGE(D$2:D291))</f>
        <v>16.27241379310345</v>
      </c>
    </row>
    <row r="293" spans="1:33" x14ac:dyDescent="0.25">
      <c r="A293" t="s">
        <v>61</v>
      </c>
      <c r="B293" t="s">
        <v>43</v>
      </c>
      <c r="C293" s="1">
        <v>42746</v>
      </c>
      <c r="D293">
        <v>8</v>
      </c>
      <c r="E293">
        <v>944.4</v>
      </c>
      <c r="F293">
        <v>14.293749999999999</v>
      </c>
      <c r="G293">
        <v>118.05</v>
      </c>
      <c r="H293">
        <v>29</v>
      </c>
      <c r="I293">
        <v>178</v>
      </c>
      <c r="J293">
        <v>1</v>
      </c>
      <c r="K293">
        <v>400</v>
      </c>
      <c r="L293">
        <v>4.4000000000000004</v>
      </c>
      <c r="M293">
        <v>27</v>
      </c>
      <c r="N293">
        <v>22</v>
      </c>
      <c r="O293">
        <v>8</v>
      </c>
      <c r="P293">
        <v>4</v>
      </c>
      <c r="Q293">
        <v>11</v>
      </c>
      <c r="R293">
        <v>2017</v>
      </c>
      <c r="S293">
        <v>33.333333330000002</v>
      </c>
      <c r="T293">
        <v>4693</v>
      </c>
      <c r="U293">
        <v>56.99</v>
      </c>
      <c r="V293">
        <v>4.3</v>
      </c>
      <c r="W293">
        <v>12.714</v>
      </c>
      <c r="X293">
        <v>118.05</v>
      </c>
      <c r="Y293">
        <v>4.4000000000000004</v>
      </c>
      <c r="Z293">
        <v>14.293749999999999</v>
      </c>
      <c r="AA293">
        <v>118.05</v>
      </c>
      <c r="AB293">
        <v>4.4000000000000004</v>
      </c>
      <c r="AC293">
        <v>14.293749999999999</v>
      </c>
      <c r="AD293">
        <v>142.5</v>
      </c>
      <c r="AE293">
        <f>Table1[[#This Row],[total_price]]/Table1[[#This Row],[qty]]</f>
        <v>118.05</v>
      </c>
      <c r="AF293">
        <f t="shared" si="4"/>
        <v>142.5</v>
      </c>
      <c r="AG293">
        <f>IF(ROW()=2, "", AVERAGE(D$2:D292))</f>
        <v>16.223367697594501</v>
      </c>
    </row>
    <row r="294" spans="1:33" x14ac:dyDescent="0.25">
      <c r="A294" t="s">
        <v>61</v>
      </c>
      <c r="B294" t="s">
        <v>43</v>
      </c>
      <c r="C294" s="1">
        <v>42747</v>
      </c>
      <c r="D294">
        <v>12</v>
      </c>
      <c r="E294">
        <v>1416</v>
      </c>
      <c r="F294">
        <v>11.026666669999999</v>
      </c>
      <c r="G294">
        <v>118</v>
      </c>
      <c r="H294">
        <v>29</v>
      </c>
      <c r="I294">
        <v>178</v>
      </c>
      <c r="J294">
        <v>1</v>
      </c>
      <c r="K294">
        <v>400</v>
      </c>
      <c r="L294">
        <v>4.4000000000000004</v>
      </c>
      <c r="M294">
        <v>34</v>
      </c>
      <c r="N294">
        <v>21</v>
      </c>
      <c r="O294">
        <v>10</v>
      </c>
      <c r="P294">
        <v>1</v>
      </c>
      <c r="Q294">
        <v>12</v>
      </c>
      <c r="R294">
        <v>2017</v>
      </c>
      <c r="S294">
        <v>50</v>
      </c>
      <c r="T294">
        <v>4693</v>
      </c>
      <c r="U294">
        <v>56.99</v>
      </c>
      <c r="V294">
        <v>4.3</v>
      </c>
      <c r="W294">
        <v>13.82</v>
      </c>
      <c r="X294">
        <v>118</v>
      </c>
      <c r="Y294">
        <v>4.4000000000000004</v>
      </c>
      <c r="Z294">
        <v>11.026666669999999</v>
      </c>
      <c r="AA294">
        <v>118</v>
      </c>
      <c r="AB294">
        <v>4.4000000000000004</v>
      </c>
      <c r="AC294">
        <v>11.026666669999999</v>
      </c>
      <c r="AD294">
        <v>118.05</v>
      </c>
      <c r="AE294">
        <f>Table1[[#This Row],[total_price]]/Table1[[#This Row],[qty]]</f>
        <v>118</v>
      </c>
      <c r="AF294">
        <f t="shared" si="4"/>
        <v>118.05</v>
      </c>
      <c r="AG294">
        <f>IF(ROW()=2, "", AVERAGE(D$2:D293))</f>
        <v>16.195205479452056</v>
      </c>
    </row>
    <row r="295" spans="1:33" x14ac:dyDescent="0.25">
      <c r="A295" t="s">
        <v>61</v>
      </c>
      <c r="B295" t="s">
        <v>43</v>
      </c>
      <c r="C295" s="1">
        <v>43101</v>
      </c>
      <c r="D295">
        <v>6</v>
      </c>
      <c r="E295">
        <v>707.4</v>
      </c>
      <c r="F295">
        <v>14.03833333</v>
      </c>
      <c r="G295">
        <v>117.9</v>
      </c>
      <c r="H295">
        <v>29</v>
      </c>
      <c r="I295">
        <v>178</v>
      </c>
      <c r="J295">
        <v>1</v>
      </c>
      <c r="K295">
        <v>400</v>
      </c>
      <c r="L295">
        <v>4.4000000000000004</v>
      </c>
      <c r="M295">
        <v>15</v>
      </c>
      <c r="N295">
        <v>23</v>
      </c>
      <c r="O295">
        <v>8</v>
      </c>
      <c r="P295">
        <v>2</v>
      </c>
      <c r="Q295">
        <v>1</v>
      </c>
      <c r="R295">
        <v>2018</v>
      </c>
      <c r="S295">
        <v>7.3170731709999997</v>
      </c>
      <c r="T295">
        <v>4693</v>
      </c>
      <c r="U295">
        <v>56.99</v>
      </c>
      <c r="V295">
        <v>4.3</v>
      </c>
      <c r="W295">
        <v>12.215</v>
      </c>
      <c r="X295">
        <v>117.9</v>
      </c>
      <c r="Y295">
        <v>4.4000000000000004</v>
      </c>
      <c r="Z295">
        <v>14.03833333</v>
      </c>
      <c r="AA295">
        <v>117.9</v>
      </c>
      <c r="AB295">
        <v>4.4000000000000004</v>
      </c>
      <c r="AC295">
        <v>14.03833333</v>
      </c>
      <c r="AD295">
        <v>118</v>
      </c>
      <c r="AE295">
        <f>Table1[[#This Row],[total_price]]/Table1[[#This Row],[qty]]</f>
        <v>117.89999999999999</v>
      </c>
      <c r="AF295">
        <f t="shared" si="4"/>
        <v>118</v>
      </c>
      <c r="AG295">
        <f>IF(ROW()=2, "", AVERAGE(D$2:D294))</f>
        <v>16.18088737201365</v>
      </c>
    </row>
    <row r="296" spans="1:33" x14ac:dyDescent="0.25">
      <c r="A296" t="s">
        <v>61</v>
      </c>
      <c r="B296" t="s">
        <v>43</v>
      </c>
      <c r="C296" s="1">
        <v>43102</v>
      </c>
      <c r="D296">
        <v>11</v>
      </c>
      <c r="E296">
        <v>1296.8</v>
      </c>
      <c r="F296">
        <v>13.880909089999999</v>
      </c>
      <c r="G296">
        <v>117.8888889</v>
      </c>
      <c r="H296">
        <v>29</v>
      </c>
      <c r="I296">
        <v>178</v>
      </c>
      <c r="J296">
        <v>1</v>
      </c>
      <c r="K296">
        <v>400</v>
      </c>
      <c r="L296">
        <v>4.4000000000000004</v>
      </c>
      <c r="M296">
        <v>12</v>
      </c>
      <c r="N296">
        <v>20</v>
      </c>
      <c r="O296">
        <v>8</v>
      </c>
      <c r="P296">
        <v>2</v>
      </c>
      <c r="Q296">
        <v>2</v>
      </c>
      <c r="R296">
        <v>2018</v>
      </c>
      <c r="S296">
        <v>13.414634149999999</v>
      </c>
      <c r="T296">
        <v>4693</v>
      </c>
      <c r="U296">
        <v>56.99</v>
      </c>
      <c r="V296">
        <v>4.3</v>
      </c>
      <c r="W296">
        <v>14.557499999999999</v>
      </c>
      <c r="X296">
        <v>117.8888889</v>
      </c>
      <c r="Y296">
        <v>4.4000000000000004</v>
      </c>
      <c r="Z296">
        <v>13.880909089999999</v>
      </c>
      <c r="AA296">
        <v>117.8888889</v>
      </c>
      <c r="AB296">
        <v>4.4000000000000004</v>
      </c>
      <c r="AC296">
        <v>13.880909089999999</v>
      </c>
      <c r="AD296">
        <v>117.9</v>
      </c>
      <c r="AE296">
        <f>Table1[[#This Row],[total_price]]/Table1[[#This Row],[qty]]</f>
        <v>117.89090909090909</v>
      </c>
      <c r="AF296">
        <f t="shared" si="4"/>
        <v>117.89999999999999</v>
      </c>
      <c r="AG296">
        <f>IF(ROW()=2, "", AVERAGE(D$2:D295))</f>
        <v>16.146258503401359</v>
      </c>
    </row>
    <row r="297" spans="1:33" x14ac:dyDescent="0.25">
      <c r="A297" t="s">
        <v>61</v>
      </c>
      <c r="B297" t="s">
        <v>43</v>
      </c>
      <c r="C297" s="1">
        <v>43103</v>
      </c>
      <c r="D297">
        <v>4</v>
      </c>
      <c r="E297">
        <v>470.8</v>
      </c>
      <c r="F297">
        <v>15.175000000000001</v>
      </c>
      <c r="G297">
        <v>117.7</v>
      </c>
      <c r="H297">
        <v>29</v>
      </c>
      <c r="I297">
        <v>178</v>
      </c>
      <c r="J297">
        <v>1</v>
      </c>
      <c r="K297">
        <v>400</v>
      </c>
      <c r="L297">
        <v>4.4000000000000004</v>
      </c>
      <c r="M297">
        <v>18</v>
      </c>
      <c r="N297">
        <v>22</v>
      </c>
      <c r="O297">
        <v>9</v>
      </c>
      <c r="P297">
        <v>1</v>
      </c>
      <c r="Q297">
        <v>3</v>
      </c>
      <c r="R297">
        <v>2018</v>
      </c>
      <c r="S297">
        <v>4.8780487800000003</v>
      </c>
      <c r="T297">
        <v>4693</v>
      </c>
      <c r="U297">
        <v>50.49</v>
      </c>
      <c r="V297">
        <v>4.3</v>
      </c>
      <c r="W297">
        <v>15.19642857</v>
      </c>
      <c r="X297">
        <v>117.7</v>
      </c>
      <c r="Y297">
        <v>4.4000000000000004</v>
      </c>
      <c r="Z297">
        <v>15.175000000000001</v>
      </c>
      <c r="AA297">
        <v>117.7</v>
      </c>
      <c r="AB297">
        <v>4.4000000000000004</v>
      </c>
      <c r="AC297">
        <v>15.175000000000001</v>
      </c>
      <c r="AD297">
        <v>117.8888889</v>
      </c>
      <c r="AE297">
        <f>Table1[[#This Row],[total_price]]/Table1[[#This Row],[qty]]</f>
        <v>117.7</v>
      </c>
      <c r="AF297">
        <f t="shared" si="4"/>
        <v>117.89090909090909</v>
      </c>
      <c r="AG297">
        <f>IF(ROW()=2, "", AVERAGE(D$2:D296))</f>
        <v>16.128813559322033</v>
      </c>
    </row>
    <row r="298" spans="1:33" x14ac:dyDescent="0.25">
      <c r="A298" t="s">
        <v>61</v>
      </c>
      <c r="B298" t="s">
        <v>43</v>
      </c>
      <c r="C298" s="1">
        <v>43104</v>
      </c>
      <c r="D298">
        <v>8</v>
      </c>
      <c r="E298">
        <v>943.8</v>
      </c>
      <c r="F298">
        <v>21.65</v>
      </c>
      <c r="G298">
        <v>117.97499999999999</v>
      </c>
      <c r="H298">
        <v>29</v>
      </c>
      <c r="I298">
        <v>178</v>
      </c>
      <c r="J298">
        <v>1</v>
      </c>
      <c r="K298">
        <v>400</v>
      </c>
      <c r="L298">
        <v>4.4000000000000004</v>
      </c>
      <c r="M298">
        <v>10</v>
      </c>
      <c r="N298">
        <v>21</v>
      </c>
      <c r="O298">
        <v>9</v>
      </c>
      <c r="P298">
        <v>1</v>
      </c>
      <c r="Q298">
        <v>4</v>
      </c>
      <c r="R298">
        <v>2018</v>
      </c>
      <c r="S298">
        <v>9.7560975610000007</v>
      </c>
      <c r="T298">
        <v>4693</v>
      </c>
      <c r="U298">
        <v>49.99</v>
      </c>
      <c r="V298">
        <v>4.3</v>
      </c>
      <c r="W298">
        <v>13.664999999999999</v>
      </c>
      <c r="X298">
        <v>117.97499999999999</v>
      </c>
      <c r="Y298">
        <v>4.4000000000000004</v>
      </c>
      <c r="Z298">
        <v>21.65</v>
      </c>
      <c r="AA298">
        <v>117.97499999999999</v>
      </c>
      <c r="AB298">
        <v>4.4000000000000004</v>
      </c>
      <c r="AC298">
        <v>21.65</v>
      </c>
      <c r="AD298">
        <v>117.7</v>
      </c>
      <c r="AE298">
        <f>Table1[[#This Row],[total_price]]/Table1[[#This Row],[qty]]</f>
        <v>117.97499999999999</v>
      </c>
      <c r="AF298">
        <f t="shared" si="4"/>
        <v>117.7</v>
      </c>
      <c r="AG298">
        <f>IF(ROW()=2, "", AVERAGE(D$2:D297))</f>
        <v>16.087837837837839</v>
      </c>
    </row>
    <row r="299" spans="1:33" x14ac:dyDescent="0.25">
      <c r="A299" t="s">
        <v>61</v>
      </c>
      <c r="B299" t="s">
        <v>43</v>
      </c>
      <c r="C299" s="1">
        <v>43105</v>
      </c>
      <c r="D299">
        <v>17</v>
      </c>
      <c r="E299">
        <v>2038.3</v>
      </c>
      <c r="F299">
        <v>15.852352939999999</v>
      </c>
      <c r="G299">
        <v>119.9</v>
      </c>
      <c r="H299">
        <v>29</v>
      </c>
      <c r="I299">
        <v>178</v>
      </c>
      <c r="J299">
        <v>1</v>
      </c>
      <c r="K299">
        <v>400</v>
      </c>
      <c r="L299">
        <v>4.4000000000000004</v>
      </c>
      <c r="M299">
        <v>16</v>
      </c>
      <c r="N299">
        <v>23</v>
      </c>
      <c r="O299">
        <v>8</v>
      </c>
      <c r="P299">
        <v>3</v>
      </c>
      <c r="Q299">
        <v>5</v>
      </c>
      <c r="R299">
        <v>2018</v>
      </c>
      <c r="S299">
        <v>20.731707320000002</v>
      </c>
      <c r="T299">
        <v>4693</v>
      </c>
      <c r="U299">
        <v>119.9</v>
      </c>
      <c r="V299">
        <v>4.4000000000000004</v>
      </c>
      <c r="W299">
        <v>15.852352939999999</v>
      </c>
      <c r="X299">
        <v>119.9</v>
      </c>
      <c r="Y299">
        <v>4.4000000000000004</v>
      </c>
      <c r="Z299">
        <v>15.852352939999999</v>
      </c>
      <c r="AA299">
        <v>119.9</v>
      </c>
      <c r="AB299">
        <v>4.4000000000000004</v>
      </c>
      <c r="AC299">
        <v>15.852352939999999</v>
      </c>
      <c r="AD299">
        <v>117.97499999999999</v>
      </c>
      <c r="AE299">
        <f>Table1[[#This Row],[total_price]]/Table1[[#This Row],[qty]]</f>
        <v>119.89999999999999</v>
      </c>
      <c r="AF299">
        <f t="shared" si="4"/>
        <v>117.97499999999999</v>
      </c>
      <c r="AG299">
        <f>IF(ROW()=2, "", AVERAGE(D$2:D298))</f>
        <v>16.060606060606062</v>
      </c>
    </row>
    <row r="300" spans="1:33" x14ac:dyDescent="0.25">
      <c r="A300" t="s">
        <v>61</v>
      </c>
      <c r="B300" t="s">
        <v>43</v>
      </c>
      <c r="C300" s="1">
        <v>43106</v>
      </c>
      <c r="D300">
        <v>14</v>
      </c>
      <c r="E300">
        <v>1668.5</v>
      </c>
      <c r="F300">
        <v>14.17285714</v>
      </c>
      <c r="G300">
        <v>119.1785714</v>
      </c>
      <c r="H300">
        <v>29</v>
      </c>
      <c r="I300">
        <v>178</v>
      </c>
      <c r="J300">
        <v>1</v>
      </c>
      <c r="K300">
        <v>400</v>
      </c>
      <c r="L300">
        <v>4.4000000000000004</v>
      </c>
      <c r="M300">
        <v>14</v>
      </c>
      <c r="N300">
        <v>21</v>
      </c>
      <c r="O300">
        <v>9</v>
      </c>
      <c r="P300">
        <v>0</v>
      </c>
      <c r="Q300">
        <v>6</v>
      </c>
      <c r="R300">
        <v>2018</v>
      </c>
      <c r="S300">
        <v>17.073170730000001</v>
      </c>
      <c r="T300">
        <v>4693</v>
      </c>
      <c r="U300">
        <v>119.1785714</v>
      </c>
      <c r="V300">
        <v>4.4000000000000004</v>
      </c>
      <c r="W300">
        <v>14.17285714</v>
      </c>
      <c r="X300">
        <v>119.1785714</v>
      </c>
      <c r="Y300">
        <v>4.4000000000000004</v>
      </c>
      <c r="Z300">
        <v>14.17285714</v>
      </c>
      <c r="AA300">
        <v>119.1785714</v>
      </c>
      <c r="AB300">
        <v>4.4000000000000004</v>
      </c>
      <c r="AC300">
        <v>14.17285714</v>
      </c>
      <c r="AD300">
        <v>119.9</v>
      </c>
      <c r="AE300">
        <f>Table1[[#This Row],[total_price]]/Table1[[#This Row],[qty]]</f>
        <v>119.17857142857143</v>
      </c>
      <c r="AF300">
        <f t="shared" si="4"/>
        <v>119.89999999999999</v>
      </c>
      <c r="AG300">
        <f>IF(ROW()=2, "", AVERAGE(D$2:D299))</f>
        <v>16.063758389261746</v>
      </c>
    </row>
    <row r="301" spans="1:33" x14ac:dyDescent="0.25">
      <c r="A301" t="s">
        <v>61</v>
      </c>
      <c r="B301" t="s">
        <v>43</v>
      </c>
      <c r="C301" s="1">
        <v>43107</v>
      </c>
      <c r="D301">
        <v>5</v>
      </c>
      <c r="E301">
        <v>593.5</v>
      </c>
      <c r="F301">
        <v>15.978</v>
      </c>
      <c r="G301">
        <v>118.7</v>
      </c>
      <c r="H301">
        <v>29</v>
      </c>
      <c r="I301">
        <v>178</v>
      </c>
      <c r="J301">
        <v>1</v>
      </c>
      <c r="K301">
        <v>400</v>
      </c>
      <c r="L301">
        <v>4.4000000000000004</v>
      </c>
      <c r="M301">
        <v>13</v>
      </c>
      <c r="N301">
        <v>22</v>
      </c>
      <c r="O301">
        <v>9</v>
      </c>
      <c r="P301">
        <v>1</v>
      </c>
      <c r="Q301">
        <v>7</v>
      </c>
      <c r="R301">
        <v>2018</v>
      </c>
      <c r="S301">
        <v>6.0975609759999996</v>
      </c>
      <c r="T301">
        <v>4693</v>
      </c>
      <c r="U301">
        <v>49.99</v>
      </c>
      <c r="V301">
        <v>4.3</v>
      </c>
      <c r="W301">
        <v>12.522500000000001</v>
      </c>
      <c r="X301">
        <v>118.7</v>
      </c>
      <c r="Y301">
        <v>4.4000000000000004</v>
      </c>
      <c r="Z301">
        <v>15.978</v>
      </c>
      <c r="AA301">
        <v>118.7</v>
      </c>
      <c r="AB301">
        <v>4.4000000000000004</v>
      </c>
      <c r="AC301">
        <v>15.978</v>
      </c>
      <c r="AD301">
        <v>119.1785714</v>
      </c>
      <c r="AE301">
        <f>Table1[[#This Row],[total_price]]/Table1[[#This Row],[qty]]</f>
        <v>118.7</v>
      </c>
      <c r="AF301">
        <f t="shared" si="4"/>
        <v>119.17857142857143</v>
      </c>
      <c r="AG301">
        <f>IF(ROW()=2, "", AVERAGE(D$2:D300))</f>
        <v>16.056856187290968</v>
      </c>
    </row>
    <row r="302" spans="1:33" x14ac:dyDescent="0.25">
      <c r="A302" t="s">
        <v>61</v>
      </c>
      <c r="B302" t="s">
        <v>43</v>
      </c>
      <c r="C302" s="1">
        <v>43108</v>
      </c>
      <c r="D302">
        <v>17</v>
      </c>
      <c r="E302">
        <v>1987.4</v>
      </c>
      <c r="F302">
        <v>17.790588240000002</v>
      </c>
      <c r="G302">
        <v>116.9066667</v>
      </c>
      <c r="H302">
        <v>29</v>
      </c>
      <c r="I302">
        <v>178</v>
      </c>
      <c r="J302">
        <v>1</v>
      </c>
      <c r="K302">
        <v>400</v>
      </c>
      <c r="L302">
        <v>4.4000000000000004</v>
      </c>
      <c r="M302">
        <v>19</v>
      </c>
      <c r="N302">
        <v>23</v>
      </c>
      <c r="O302">
        <v>8</v>
      </c>
      <c r="P302">
        <v>1</v>
      </c>
      <c r="Q302">
        <v>8</v>
      </c>
      <c r="R302">
        <v>2018</v>
      </c>
      <c r="S302">
        <v>12.449186989999999</v>
      </c>
      <c r="T302">
        <v>4693</v>
      </c>
      <c r="U302">
        <v>49.99</v>
      </c>
      <c r="V302">
        <v>4.3</v>
      </c>
      <c r="W302">
        <v>12.28</v>
      </c>
      <c r="X302">
        <v>116.9066667</v>
      </c>
      <c r="Y302">
        <v>4.4000000000000004</v>
      </c>
      <c r="Z302">
        <v>17.790588240000002</v>
      </c>
      <c r="AA302">
        <v>116.9066667</v>
      </c>
      <c r="AB302">
        <v>4.4000000000000004</v>
      </c>
      <c r="AC302">
        <v>17.790588240000002</v>
      </c>
      <c r="AD302">
        <v>118.7</v>
      </c>
      <c r="AE302">
        <f>Table1[[#This Row],[total_price]]/Table1[[#This Row],[qty]]</f>
        <v>116.90588235294118</v>
      </c>
      <c r="AF302">
        <f t="shared" si="4"/>
        <v>118.7</v>
      </c>
      <c r="AG302">
        <f>IF(ROW()=2, "", AVERAGE(D$2:D301))</f>
        <v>16.02</v>
      </c>
    </row>
    <row r="303" spans="1:33" x14ac:dyDescent="0.25">
      <c r="A303" t="s">
        <v>62</v>
      </c>
      <c r="B303" t="s">
        <v>40</v>
      </c>
      <c r="C303" s="1">
        <v>42738</v>
      </c>
      <c r="D303">
        <v>8</v>
      </c>
      <c r="E303">
        <v>1039.92</v>
      </c>
      <c r="F303">
        <v>18.778749999999999</v>
      </c>
      <c r="G303">
        <v>129.99</v>
      </c>
      <c r="H303">
        <v>33</v>
      </c>
      <c r="I303">
        <v>897</v>
      </c>
      <c r="J303">
        <v>1</v>
      </c>
      <c r="K303">
        <v>1600</v>
      </c>
      <c r="L303">
        <v>4.3</v>
      </c>
      <c r="M303">
        <v>22</v>
      </c>
      <c r="N303">
        <v>23</v>
      </c>
      <c r="O303">
        <v>8</v>
      </c>
      <c r="P303">
        <v>1</v>
      </c>
      <c r="Q303">
        <v>3</v>
      </c>
      <c r="R303">
        <v>2017</v>
      </c>
      <c r="S303">
        <v>9.8536036039999999</v>
      </c>
      <c r="T303">
        <v>15750</v>
      </c>
      <c r="U303">
        <v>99.99</v>
      </c>
      <c r="V303">
        <v>4.2</v>
      </c>
      <c r="W303">
        <v>16.644285709999998</v>
      </c>
      <c r="X303">
        <v>129.99</v>
      </c>
      <c r="Y303">
        <v>4.3</v>
      </c>
      <c r="Z303">
        <v>18.778749999999999</v>
      </c>
      <c r="AA303">
        <v>129.99</v>
      </c>
      <c r="AB303">
        <v>4.3</v>
      </c>
      <c r="AC303">
        <v>18.778749999999999</v>
      </c>
      <c r="AD303">
        <v>129.94</v>
      </c>
      <c r="AE303">
        <f>Table1[[#This Row],[total_price]]/Table1[[#This Row],[qty]]</f>
        <v>129.99</v>
      </c>
      <c r="AF303" t="str">
        <f t="shared" si="4"/>
        <v/>
      </c>
      <c r="AG303">
        <f>IF(ROW()=2, "", AVERAGE(D$2:D302))</f>
        <v>16.023255813953487</v>
      </c>
    </row>
    <row r="304" spans="1:33" x14ac:dyDescent="0.25">
      <c r="A304" t="s">
        <v>62</v>
      </c>
      <c r="B304" t="s">
        <v>40</v>
      </c>
      <c r="C304" s="1">
        <v>42739</v>
      </c>
      <c r="D304">
        <v>14</v>
      </c>
      <c r="E304">
        <v>1819.86</v>
      </c>
      <c r="F304">
        <v>17.396428570000001</v>
      </c>
      <c r="G304">
        <v>129.99</v>
      </c>
      <c r="H304">
        <v>33</v>
      </c>
      <c r="I304">
        <v>897</v>
      </c>
      <c r="J304">
        <v>1</v>
      </c>
      <c r="K304">
        <v>1600</v>
      </c>
      <c r="L304">
        <v>4.3</v>
      </c>
      <c r="M304">
        <v>33</v>
      </c>
      <c r="N304">
        <v>20</v>
      </c>
      <c r="O304">
        <v>10</v>
      </c>
      <c r="P304">
        <v>2</v>
      </c>
      <c r="Q304">
        <v>4</v>
      </c>
      <c r="R304">
        <v>2017</v>
      </c>
      <c r="S304">
        <v>12.55630631</v>
      </c>
      <c r="T304">
        <v>15750</v>
      </c>
      <c r="U304">
        <v>99.99</v>
      </c>
      <c r="V304">
        <v>4.2</v>
      </c>
      <c r="W304">
        <v>14.202352940000001</v>
      </c>
      <c r="X304">
        <v>129.99</v>
      </c>
      <c r="Y304">
        <v>4.3</v>
      </c>
      <c r="Z304">
        <v>17.396428570000001</v>
      </c>
      <c r="AA304">
        <v>129.99</v>
      </c>
      <c r="AB304">
        <v>4.3</v>
      </c>
      <c r="AC304">
        <v>17.396428570000001</v>
      </c>
      <c r="AD304">
        <v>129.99</v>
      </c>
      <c r="AE304">
        <f>Table1[[#This Row],[total_price]]/Table1[[#This Row],[qty]]</f>
        <v>129.98999999999998</v>
      </c>
      <c r="AF304">
        <f t="shared" si="4"/>
        <v>129.99</v>
      </c>
      <c r="AG304">
        <f>IF(ROW()=2, "", AVERAGE(D$2:D303))</f>
        <v>15.996688741721854</v>
      </c>
    </row>
    <row r="305" spans="1:33" x14ac:dyDescent="0.25">
      <c r="A305" t="s">
        <v>62</v>
      </c>
      <c r="B305" t="s">
        <v>40</v>
      </c>
      <c r="C305" s="1">
        <v>42740</v>
      </c>
      <c r="D305">
        <v>18</v>
      </c>
      <c r="E305">
        <v>2339.8200000000002</v>
      </c>
      <c r="F305">
        <v>18.272777779999998</v>
      </c>
      <c r="G305">
        <v>129.99</v>
      </c>
      <c r="H305">
        <v>33</v>
      </c>
      <c r="I305">
        <v>897</v>
      </c>
      <c r="J305">
        <v>1</v>
      </c>
      <c r="K305">
        <v>1600</v>
      </c>
      <c r="L305">
        <v>4.3</v>
      </c>
      <c r="M305">
        <v>58</v>
      </c>
      <c r="N305">
        <v>23</v>
      </c>
      <c r="O305">
        <v>8</v>
      </c>
      <c r="P305">
        <v>1</v>
      </c>
      <c r="Q305">
        <v>5</v>
      </c>
      <c r="R305">
        <v>2017</v>
      </c>
      <c r="S305">
        <v>16.21621622</v>
      </c>
      <c r="T305">
        <v>15750</v>
      </c>
      <c r="U305">
        <v>99.99</v>
      </c>
      <c r="V305">
        <v>4.2</v>
      </c>
      <c r="W305">
        <v>15.02090909</v>
      </c>
      <c r="X305">
        <v>129.99</v>
      </c>
      <c r="Y305">
        <v>4.3</v>
      </c>
      <c r="Z305">
        <v>18.272777779999998</v>
      </c>
      <c r="AA305">
        <v>129.99</v>
      </c>
      <c r="AB305">
        <v>4.3</v>
      </c>
      <c r="AC305">
        <v>18.272777779999998</v>
      </c>
      <c r="AD305">
        <v>129.99</v>
      </c>
      <c r="AE305">
        <f>Table1[[#This Row],[total_price]]/Table1[[#This Row],[qty]]</f>
        <v>129.99</v>
      </c>
      <c r="AF305">
        <f t="shared" si="4"/>
        <v>129.98999999999998</v>
      </c>
      <c r="AG305">
        <f>IF(ROW()=2, "", AVERAGE(D$2:D304))</f>
        <v>15.990099009900991</v>
      </c>
    </row>
    <row r="306" spans="1:33" x14ac:dyDescent="0.25">
      <c r="A306" t="s">
        <v>62</v>
      </c>
      <c r="B306" t="s">
        <v>40</v>
      </c>
      <c r="C306" s="1">
        <v>42741</v>
      </c>
      <c r="D306">
        <v>17</v>
      </c>
      <c r="E306">
        <v>2209.83</v>
      </c>
      <c r="F306">
        <v>17.061176469999999</v>
      </c>
      <c r="G306">
        <v>129.99</v>
      </c>
      <c r="H306">
        <v>33</v>
      </c>
      <c r="I306">
        <v>897</v>
      </c>
      <c r="J306">
        <v>1</v>
      </c>
      <c r="K306">
        <v>1600</v>
      </c>
      <c r="L306">
        <v>4.3</v>
      </c>
      <c r="M306">
        <v>42</v>
      </c>
      <c r="N306">
        <v>22</v>
      </c>
      <c r="O306">
        <v>8</v>
      </c>
      <c r="P306">
        <v>1</v>
      </c>
      <c r="Q306">
        <v>6</v>
      </c>
      <c r="R306">
        <v>2017</v>
      </c>
      <c r="S306">
        <v>15.31531532</v>
      </c>
      <c r="T306">
        <v>15750</v>
      </c>
      <c r="U306">
        <v>99.99</v>
      </c>
      <c r="V306">
        <v>4.2</v>
      </c>
      <c r="W306">
        <v>13.826428569999999</v>
      </c>
      <c r="X306">
        <v>129.99</v>
      </c>
      <c r="Y306">
        <v>4.3</v>
      </c>
      <c r="Z306">
        <v>17.061176469999999</v>
      </c>
      <c r="AA306">
        <v>129.99</v>
      </c>
      <c r="AB306">
        <v>4.3</v>
      </c>
      <c r="AC306">
        <v>17.061176469999999</v>
      </c>
      <c r="AD306">
        <v>129.99</v>
      </c>
      <c r="AE306">
        <f>Table1[[#This Row],[total_price]]/Table1[[#This Row],[qty]]</f>
        <v>129.99</v>
      </c>
      <c r="AF306">
        <f t="shared" si="4"/>
        <v>129.99</v>
      </c>
      <c r="AG306">
        <f>IF(ROW()=2, "", AVERAGE(D$2:D305))</f>
        <v>15.996710526315789</v>
      </c>
    </row>
    <row r="307" spans="1:33" x14ac:dyDescent="0.25">
      <c r="A307" t="s">
        <v>62</v>
      </c>
      <c r="B307" t="s">
        <v>40</v>
      </c>
      <c r="C307" s="1">
        <v>42742</v>
      </c>
      <c r="D307">
        <v>16</v>
      </c>
      <c r="E307">
        <v>2079.84</v>
      </c>
      <c r="F307">
        <v>18.715624999999999</v>
      </c>
      <c r="G307">
        <v>129.99</v>
      </c>
      <c r="H307">
        <v>33</v>
      </c>
      <c r="I307">
        <v>897</v>
      </c>
      <c r="J307">
        <v>1</v>
      </c>
      <c r="K307">
        <v>1600</v>
      </c>
      <c r="L307">
        <v>4.3</v>
      </c>
      <c r="M307">
        <v>42</v>
      </c>
      <c r="N307">
        <v>21</v>
      </c>
      <c r="O307">
        <v>10</v>
      </c>
      <c r="P307">
        <v>1</v>
      </c>
      <c r="Q307">
        <v>7</v>
      </c>
      <c r="R307">
        <v>2017</v>
      </c>
      <c r="S307">
        <v>14.414414409999999</v>
      </c>
      <c r="T307">
        <v>15750</v>
      </c>
      <c r="U307">
        <v>99.99</v>
      </c>
      <c r="V307">
        <v>4.2</v>
      </c>
      <c r="W307">
        <v>16.529090910000001</v>
      </c>
      <c r="X307">
        <v>129.99</v>
      </c>
      <c r="Y307">
        <v>4.3</v>
      </c>
      <c r="Z307">
        <v>18.715624999999999</v>
      </c>
      <c r="AA307">
        <v>129.99</v>
      </c>
      <c r="AB307">
        <v>4.3</v>
      </c>
      <c r="AC307">
        <v>18.715624999999999</v>
      </c>
      <c r="AD307">
        <v>129.99</v>
      </c>
      <c r="AE307">
        <f>Table1[[#This Row],[total_price]]/Table1[[#This Row],[qty]]</f>
        <v>129.99</v>
      </c>
      <c r="AF307">
        <f t="shared" si="4"/>
        <v>129.99</v>
      </c>
      <c r="AG307">
        <f>IF(ROW()=2, "", AVERAGE(D$2:D306))</f>
        <v>16</v>
      </c>
    </row>
    <row r="308" spans="1:33" x14ac:dyDescent="0.25">
      <c r="A308" t="s">
        <v>62</v>
      </c>
      <c r="B308" t="s">
        <v>40</v>
      </c>
      <c r="C308" s="1">
        <v>42743</v>
      </c>
      <c r="D308">
        <v>16</v>
      </c>
      <c r="E308">
        <v>1870.84</v>
      </c>
      <c r="F308">
        <v>19.021249999999998</v>
      </c>
      <c r="G308">
        <v>116.92749999999999</v>
      </c>
      <c r="H308">
        <v>33</v>
      </c>
      <c r="I308">
        <v>897</v>
      </c>
      <c r="J308">
        <v>1</v>
      </c>
      <c r="K308">
        <v>1600</v>
      </c>
      <c r="L308">
        <v>4.3</v>
      </c>
      <c r="M308">
        <v>39</v>
      </c>
      <c r="N308">
        <v>23</v>
      </c>
      <c r="O308">
        <v>8</v>
      </c>
      <c r="P308">
        <v>1</v>
      </c>
      <c r="Q308">
        <v>8</v>
      </c>
      <c r="R308">
        <v>2017</v>
      </c>
      <c r="S308">
        <v>14.414414409999999</v>
      </c>
      <c r="T308">
        <v>15750</v>
      </c>
      <c r="U308">
        <v>99.99</v>
      </c>
      <c r="V308">
        <v>4.2</v>
      </c>
      <c r="W308">
        <v>18.975000000000001</v>
      </c>
      <c r="X308">
        <v>116.92749999999999</v>
      </c>
      <c r="Y308">
        <v>4.3</v>
      </c>
      <c r="Z308">
        <v>19.021249999999998</v>
      </c>
      <c r="AA308">
        <v>116.92749999999999</v>
      </c>
      <c r="AB308">
        <v>4.3</v>
      </c>
      <c r="AC308">
        <v>19.021249999999998</v>
      </c>
      <c r="AD308">
        <v>129.99</v>
      </c>
      <c r="AE308">
        <f>Table1[[#This Row],[total_price]]/Table1[[#This Row],[qty]]</f>
        <v>116.92749999999999</v>
      </c>
      <c r="AF308">
        <f t="shared" si="4"/>
        <v>129.99</v>
      </c>
      <c r="AG308">
        <f>IF(ROW()=2, "", AVERAGE(D$2:D307))</f>
        <v>16</v>
      </c>
    </row>
    <row r="309" spans="1:33" x14ac:dyDescent="0.25">
      <c r="A309" t="s">
        <v>62</v>
      </c>
      <c r="B309" t="s">
        <v>40</v>
      </c>
      <c r="C309" s="1">
        <v>42745</v>
      </c>
      <c r="D309">
        <v>10</v>
      </c>
      <c r="E309">
        <v>1199.9000000000001</v>
      </c>
      <c r="F309">
        <v>19.997</v>
      </c>
      <c r="G309">
        <v>119.99</v>
      </c>
      <c r="H309">
        <v>33</v>
      </c>
      <c r="I309">
        <v>897</v>
      </c>
      <c r="J309">
        <v>1</v>
      </c>
      <c r="K309">
        <v>1600</v>
      </c>
      <c r="L309">
        <v>4.3</v>
      </c>
      <c r="M309">
        <v>33</v>
      </c>
      <c r="N309">
        <v>22</v>
      </c>
      <c r="O309">
        <v>9</v>
      </c>
      <c r="P309">
        <v>2</v>
      </c>
      <c r="Q309">
        <v>10</v>
      </c>
      <c r="R309">
        <v>2017</v>
      </c>
      <c r="S309">
        <v>9.0090090089999997</v>
      </c>
      <c r="T309">
        <v>15750</v>
      </c>
      <c r="U309">
        <v>99.99</v>
      </c>
      <c r="V309">
        <v>4.2</v>
      </c>
      <c r="W309">
        <v>16.95</v>
      </c>
      <c r="X309">
        <v>119.99</v>
      </c>
      <c r="Y309">
        <v>4.3</v>
      </c>
      <c r="Z309">
        <v>19.997</v>
      </c>
      <c r="AA309">
        <v>119.99</v>
      </c>
      <c r="AB309">
        <v>4.3</v>
      </c>
      <c r="AC309">
        <v>19.997</v>
      </c>
      <c r="AD309">
        <v>119.94</v>
      </c>
      <c r="AE309">
        <f>Table1[[#This Row],[total_price]]/Table1[[#This Row],[qty]]</f>
        <v>119.99000000000001</v>
      </c>
      <c r="AF309">
        <f t="shared" si="4"/>
        <v>116.92749999999999</v>
      </c>
      <c r="AG309">
        <f>IF(ROW()=2, "", AVERAGE(D$2:D308))</f>
        <v>16</v>
      </c>
    </row>
    <row r="310" spans="1:33" x14ac:dyDescent="0.25">
      <c r="A310" t="s">
        <v>62</v>
      </c>
      <c r="B310" t="s">
        <v>40</v>
      </c>
      <c r="C310" s="1">
        <v>42746</v>
      </c>
      <c r="D310">
        <v>9</v>
      </c>
      <c r="E310">
        <v>1169.9100000000001</v>
      </c>
      <c r="F310">
        <v>22.674444439999998</v>
      </c>
      <c r="G310">
        <v>129.99</v>
      </c>
      <c r="H310">
        <v>33</v>
      </c>
      <c r="I310">
        <v>897</v>
      </c>
      <c r="J310">
        <v>1</v>
      </c>
      <c r="K310">
        <v>1600</v>
      </c>
      <c r="L310">
        <v>4.3</v>
      </c>
      <c r="M310">
        <v>42</v>
      </c>
      <c r="N310">
        <v>22</v>
      </c>
      <c r="O310">
        <v>8</v>
      </c>
      <c r="P310">
        <v>4</v>
      </c>
      <c r="Q310">
        <v>11</v>
      </c>
      <c r="R310">
        <v>2017</v>
      </c>
      <c r="S310">
        <v>8.1081081079999997</v>
      </c>
      <c r="T310">
        <v>15750</v>
      </c>
      <c r="U310">
        <v>99.99</v>
      </c>
      <c r="V310">
        <v>4.2</v>
      </c>
      <c r="W310">
        <v>16.1875</v>
      </c>
      <c r="X310">
        <v>129.99</v>
      </c>
      <c r="Y310">
        <v>4.3</v>
      </c>
      <c r="Z310">
        <v>22.674444439999998</v>
      </c>
      <c r="AA310">
        <v>129.99</v>
      </c>
      <c r="AB310">
        <v>4.3</v>
      </c>
      <c r="AC310">
        <v>22.674444439999998</v>
      </c>
      <c r="AD310">
        <v>119.99</v>
      </c>
      <c r="AE310">
        <f>Table1[[#This Row],[total_price]]/Table1[[#This Row],[qty]]</f>
        <v>129.99</v>
      </c>
      <c r="AF310">
        <f t="shared" si="4"/>
        <v>119.99000000000001</v>
      </c>
      <c r="AG310">
        <f>IF(ROW()=2, "", AVERAGE(D$2:D309))</f>
        <v>15.980519480519481</v>
      </c>
    </row>
    <row r="311" spans="1:33" x14ac:dyDescent="0.25">
      <c r="A311" t="s">
        <v>62</v>
      </c>
      <c r="B311" t="s">
        <v>40</v>
      </c>
      <c r="C311" s="1">
        <v>42747</v>
      </c>
      <c r="D311">
        <v>3</v>
      </c>
      <c r="E311">
        <v>389.97</v>
      </c>
      <c r="F311">
        <v>25.59</v>
      </c>
      <c r="G311">
        <v>129.99</v>
      </c>
      <c r="H311">
        <v>33</v>
      </c>
      <c r="I311">
        <v>897</v>
      </c>
      <c r="J311">
        <v>1</v>
      </c>
      <c r="K311">
        <v>1600</v>
      </c>
      <c r="L311">
        <v>4.3</v>
      </c>
      <c r="M311">
        <v>38</v>
      </c>
      <c r="N311">
        <v>21</v>
      </c>
      <c r="O311">
        <v>10</v>
      </c>
      <c r="P311">
        <v>1</v>
      </c>
      <c r="Q311">
        <v>12</v>
      </c>
      <c r="R311">
        <v>2017</v>
      </c>
      <c r="S311">
        <v>2.7027027029999999</v>
      </c>
      <c r="T311">
        <v>15750</v>
      </c>
      <c r="U311">
        <v>99.99</v>
      </c>
      <c r="V311">
        <v>4.2</v>
      </c>
      <c r="W311">
        <v>15.266666669999999</v>
      </c>
      <c r="X311">
        <v>129.99</v>
      </c>
      <c r="Y311">
        <v>4.3</v>
      </c>
      <c r="Z311">
        <v>25.59</v>
      </c>
      <c r="AA311">
        <v>129.99</v>
      </c>
      <c r="AB311">
        <v>4.3</v>
      </c>
      <c r="AC311">
        <v>25.59</v>
      </c>
      <c r="AD311">
        <v>129.99</v>
      </c>
      <c r="AE311">
        <f>Table1[[#This Row],[total_price]]/Table1[[#This Row],[qty]]</f>
        <v>129.99</v>
      </c>
      <c r="AF311">
        <f t="shared" si="4"/>
        <v>129.99</v>
      </c>
      <c r="AG311">
        <f>IF(ROW()=2, "", AVERAGE(D$2:D310))</f>
        <v>15.957928802588997</v>
      </c>
    </row>
    <row r="312" spans="1:33" x14ac:dyDescent="0.25">
      <c r="A312" t="s">
        <v>62</v>
      </c>
      <c r="B312" t="s">
        <v>40</v>
      </c>
      <c r="C312" s="1">
        <v>43101</v>
      </c>
      <c r="D312">
        <v>4</v>
      </c>
      <c r="E312">
        <v>519.96</v>
      </c>
      <c r="F312">
        <v>17.41</v>
      </c>
      <c r="G312">
        <v>129.99</v>
      </c>
      <c r="H312">
        <v>33</v>
      </c>
      <c r="I312">
        <v>897</v>
      </c>
      <c r="J312">
        <v>1</v>
      </c>
      <c r="K312">
        <v>1600</v>
      </c>
      <c r="L312">
        <v>4.3</v>
      </c>
      <c r="M312">
        <v>102</v>
      </c>
      <c r="N312">
        <v>23</v>
      </c>
      <c r="O312">
        <v>8</v>
      </c>
      <c r="P312">
        <v>2</v>
      </c>
      <c r="Q312">
        <v>1</v>
      </c>
      <c r="R312">
        <v>2018</v>
      </c>
      <c r="S312">
        <v>50</v>
      </c>
      <c r="T312">
        <v>15750</v>
      </c>
      <c r="U312">
        <v>99.99</v>
      </c>
      <c r="V312">
        <v>4.2</v>
      </c>
      <c r="W312">
        <v>16.54</v>
      </c>
      <c r="X312">
        <v>129.99</v>
      </c>
      <c r="Y312">
        <v>4.3</v>
      </c>
      <c r="Z312">
        <v>17.41</v>
      </c>
      <c r="AA312">
        <v>29.5</v>
      </c>
      <c r="AB312">
        <v>4.4000000000000004</v>
      </c>
      <c r="AC312">
        <v>16.53263158</v>
      </c>
      <c r="AD312">
        <v>129.99</v>
      </c>
      <c r="AE312">
        <f>Table1[[#This Row],[total_price]]/Table1[[#This Row],[qty]]</f>
        <v>129.99</v>
      </c>
      <c r="AF312">
        <f t="shared" si="4"/>
        <v>129.99</v>
      </c>
      <c r="AG312">
        <f>IF(ROW()=2, "", AVERAGE(D$2:D311))</f>
        <v>15.916129032258064</v>
      </c>
    </row>
    <row r="313" spans="1:33" x14ac:dyDescent="0.25">
      <c r="A313" t="s">
        <v>62</v>
      </c>
      <c r="B313" t="s">
        <v>40</v>
      </c>
      <c r="C313" s="1">
        <v>43102</v>
      </c>
      <c r="D313">
        <v>2</v>
      </c>
      <c r="E313">
        <v>259.98</v>
      </c>
      <c r="F313">
        <v>16.71</v>
      </c>
      <c r="G313">
        <v>129.99</v>
      </c>
      <c r="H313">
        <v>33</v>
      </c>
      <c r="I313">
        <v>897</v>
      </c>
      <c r="J313">
        <v>1</v>
      </c>
      <c r="K313">
        <v>1600</v>
      </c>
      <c r="L313">
        <v>4.3</v>
      </c>
      <c r="M313">
        <v>20</v>
      </c>
      <c r="N313">
        <v>20</v>
      </c>
      <c r="O313">
        <v>8</v>
      </c>
      <c r="P313">
        <v>2</v>
      </c>
      <c r="Q313">
        <v>2</v>
      </c>
      <c r="R313">
        <v>2018</v>
      </c>
      <c r="S313">
        <v>25</v>
      </c>
      <c r="T313">
        <v>15750</v>
      </c>
      <c r="U313">
        <v>99.99</v>
      </c>
      <c r="V313">
        <v>4.2</v>
      </c>
      <c r="W313">
        <v>13.72</v>
      </c>
      <c r="X313">
        <v>129.99</v>
      </c>
      <c r="Y313">
        <v>4.3</v>
      </c>
      <c r="Z313">
        <v>16.71</v>
      </c>
      <c r="AA313">
        <v>129.99</v>
      </c>
      <c r="AB313">
        <v>4.3</v>
      </c>
      <c r="AC313">
        <v>16.71</v>
      </c>
      <c r="AD313">
        <v>129.99</v>
      </c>
      <c r="AE313">
        <f>Table1[[#This Row],[total_price]]/Table1[[#This Row],[qty]]</f>
        <v>129.99</v>
      </c>
      <c r="AF313">
        <f t="shared" si="4"/>
        <v>129.99</v>
      </c>
      <c r="AG313">
        <f>IF(ROW()=2, "", AVERAGE(D$2:D312))</f>
        <v>15.877813504823152</v>
      </c>
    </row>
    <row r="314" spans="1:33" x14ac:dyDescent="0.25">
      <c r="A314" t="s">
        <v>62</v>
      </c>
      <c r="B314" t="s">
        <v>40</v>
      </c>
      <c r="C314" s="1">
        <v>43103</v>
      </c>
      <c r="D314">
        <v>1</v>
      </c>
      <c r="E314">
        <v>129.99</v>
      </c>
      <c r="F314">
        <v>18.489999999999998</v>
      </c>
      <c r="G314">
        <v>129.99</v>
      </c>
      <c r="H314">
        <v>33</v>
      </c>
      <c r="I314">
        <v>897</v>
      </c>
      <c r="J314">
        <v>1</v>
      </c>
      <c r="K314">
        <v>1600</v>
      </c>
      <c r="L314">
        <v>4.3</v>
      </c>
      <c r="M314">
        <v>45</v>
      </c>
      <c r="N314">
        <v>22</v>
      </c>
      <c r="O314">
        <v>9</v>
      </c>
      <c r="P314">
        <v>1</v>
      </c>
      <c r="Q314">
        <v>3</v>
      </c>
      <c r="R314">
        <v>2018</v>
      </c>
      <c r="S314">
        <v>9.8536036039999999</v>
      </c>
      <c r="T314">
        <v>15750</v>
      </c>
      <c r="U314">
        <v>99.99</v>
      </c>
      <c r="V314">
        <v>4.2</v>
      </c>
      <c r="W314">
        <v>20.78</v>
      </c>
      <c r="X314">
        <v>129.99</v>
      </c>
      <c r="Y314">
        <v>4.3</v>
      </c>
      <c r="Z314">
        <v>18.489999999999998</v>
      </c>
      <c r="AA314">
        <v>35</v>
      </c>
      <c r="AB314">
        <v>4.4000000000000004</v>
      </c>
      <c r="AC314">
        <v>16.25615385</v>
      </c>
      <c r="AD314">
        <v>129.99</v>
      </c>
      <c r="AE314">
        <f>Table1[[#This Row],[total_price]]/Table1[[#This Row],[qty]]</f>
        <v>129.99</v>
      </c>
      <c r="AF314">
        <f t="shared" si="4"/>
        <v>129.99</v>
      </c>
      <c r="AG314">
        <f>IF(ROW()=2, "", AVERAGE(D$2:D313))</f>
        <v>15.833333333333334</v>
      </c>
    </row>
    <row r="315" spans="1:33" x14ac:dyDescent="0.25">
      <c r="A315" t="s">
        <v>62</v>
      </c>
      <c r="B315" t="s">
        <v>40</v>
      </c>
      <c r="C315" s="1">
        <v>43104</v>
      </c>
      <c r="D315">
        <v>1</v>
      </c>
      <c r="E315">
        <v>129.99</v>
      </c>
      <c r="F315">
        <v>23.49</v>
      </c>
      <c r="G315">
        <v>129.99</v>
      </c>
      <c r="H315">
        <v>33</v>
      </c>
      <c r="I315">
        <v>897</v>
      </c>
      <c r="J315">
        <v>1</v>
      </c>
      <c r="K315">
        <v>1600</v>
      </c>
      <c r="L315">
        <v>4.3</v>
      </c>
      <c r="M315">
        <v>18</v>
      </c>
      <c r="N315">
        <v>21</v>
      </c>
      <c r="O315">
        <v>9</v>
      </c>
      <c r="P315">
        <v>1</v>
      </c>
      <c r="Q315">
        <v>4</v>
      </c>
      <c r="R315">
        <v>2018</v>
      </c>
      <c r="S315">
        <v>12.55630631</v>
      </c>
      <c r="T315">
        <v>15750</v>
      </c>
      <c r="U315">
        <v>89.863333330000003</v>
      </c>
      <c r="V315">
        <v>4.2</v>
      </c>
      <c r="W315">
        <v>19.876666669999999</v>
      </c>
      <c r="X315">
        <v>129.99</v>
      </c>
      <c r="Y315">
        <v>4.3</v>
      </c>
      <c r="Z315">
        <v>23.49</v>
      </c>
      <c r="AA315">
        <v>35</v>
      </c>
      <c r="AB315">
        <v>4.4000000000000004</v>
      </c>
      <c r="AC315">
        <v>14.845000000000001</v>
      </c>
      <c r="AD315">
        <v>129.99</v>
      </c>
      <c r="AE315">
        <f>Table1[[#This Row],[total_price]]/Table1[[#This Row],[qty]]</f>
        <v>129.99</v>
      </c>
      <c r="AF315">
        <f t="shared" si="4"/>
        <v>129.99</v>
      </c>
      <c r="AG315">
        <f>IF(ROW()=2, "", AVERAGE(D$2:D314))</f>
        <v>15.785942492012779</v>
      </c>
    </row>
    <row r="316" spans="1:33" x14ac:dyDescent="0.25">
      <c r="A316" t="s">
        <v>63</v>
      </c>
      <c r="B316" t="s">
        <v>48</v>
      </c>
      <c r="C316" s="1">
        <v>42740</v>
      </c>
      <c r="D316">
        <v>4</v>
      </c>
      <c r="E316">
        <v>379.6</v>
      </c>
      <c r="F316">
        <v>15.84</v>
      </c>
      <c r="G316">
        <v>94.9</v>
      </c>
      <c r="H316">
        <v>45</v>
      </c>
      <c r="I316">
        <v>236</v>
      </c>
      <c r="J316">
        <v>1</v>
      </c>
      <c r="K316">
        <v>173</v>
      </c>
      <c r="L316">
        <v>4</v>
      </c>
      <c r="M316">
        <v>11</v>
      </c>
      <c r="N316">
        <v>23</v>
      </c>
      <c r="O316">
        <v>8</v>
      </c>
      <c r="P316">
        <v>1</v>
      </c>
      <c r="Q316">
        <v>5</v>
      </c>
      <c r="R316">
        <v>2017</v>
      </c>
      <c r="S316">
        <v>10.81081081</v>
      </c>
      <c r="T316">
        <v>2808</v>
      </c>
      <c r="U316">
        <v>94.9</v>
      </c>
      <c r="V316">
        <v>4</v>
      </c>
      <c r="W316">
        <v>15.84</v>
      </c>
      <c r="X316">
        <v>94.9</v>
      </c>
      <c r="Y316">
        <v>4</v>
      </c>
      <c r="Z316">
        <v>15.84</v>
      </c>
      <c r="AA316">
        <v>94.9</v>
      </c>
      <c r="AB316">
        <v>4</v>
      </c>
      <c r="AC316">
        <v>15.84</v>
      </c>
      <c r="AD316">
        <v>94.85</v>
      </c>
      <c r="AE316">
        <f>Table1[[#This Row],[total_price]]/Table1[[#This Row],[qty]]</f>
        <v>94.9</v>
      </c>
      <c r="AF316" t="str">
        <f t="shared" si="4"/>
        <v/>
      </c>
      <c r="AG316">
        <f>IF(ROW()=2, "", AVERAGE(D$2:D315))</f>
        <v>15.738853503184714</v>
      </c>
    </row>
    <row r="317" spans="1:33" x14ac:dyDescent="0.25">
      <c r="A317" t="s">
        <v>63</v>
      </c>
      <c r="B317" t="s">
        <v>48</v>
      </c>
      <c r="C317" s="1">
        <v>42741</v>
      </c>
      <c r="D317">
        <v>6</v>
      </c>
      <c r="E317">
        <v>611.4</v>
      </c>
      <c r="F317">
        <v>17.785</v>
      </c>
      <c r="G317">
        <v>100.9</v>
      </c>
      <c r="H317">
        <v>45</v>
      </c>
      <c r="I317">
        <v>236</v>
      </c>
      <c r="J317">
        <v>1</v>
      </c>
      <c r="K317">
        <v>173</v>
      </c>
      <c r="L317">
        <v>4</v>
      </c>
      <c r="M317">
        <v>15</v>
      </c>
      <c r="N317">
        <v>22</v>
      </c>
      <c r="O317">
        <v>8</v>
      </c>
      <c r="P317">
        <v>1</v>
      </c>
      <c r="Q317">
        <v>6</v>
      </c>
      <c r="R317">
        <v>2017</v>
      </c>
      <c r="S317">
        <v>10.068892419999999</v>
      </c>
      <c r="T317">
        <v>2808</v>
      </c>
      <c r="U317">
        <v>159.99</v>
      </c>
      <c r="V317">
        <v>4.2</v>
      </c>
      <c r="W317">
        <v>42.033333329999998</v>
      </c>
      <c r="X317">
        <v>100.9</v>
      </c>
      <c r="Y317">
        <v>4</v>
      </c>
      <c r="Z317">
        <v>17.785</v>
      </c>
      <c r="AA317">
        <v>100.9</v>
      </c>
      <c r="AB317">
        <v>4</v>
      </c>
      <c r="AC317">
        <v>17.785</v>
      </c>
      <c r="AD317">
        <v>94.9</v>
      </c>
      <c r="AE317">
        <f>Table1[[#This Row],[total_price]]/Table1[[#This Row],[qty]]</f>
        <v>101.89999999999999</v>
      </c>
      <c r="AF317">
        <f t="shared" si="4"/>
        <v>94.9</v>
      </c>
      <c r="AG317">
        <f>IF(ROW()=2, "", AVERAGE(D$2:D316))</f>
        <v>15.701587301587301</v>
      </c>
    </row>
    <row r="318" spans="1:33" x14ac:dyDescent="0.25">
      <c r="A318" t="s">
        <v>63</v>
      </c>
      <c r="B318" t="s">
        <v>48</v>
      </c>
      <c r="C318" s="1">
        <v>42742</v>
      </c>
      <c r="D318">
        <v>10</v>
      </c>
      <c r="E318">
        <v>1099</v>
      </c>
      <c r="F318">
        <v>12.015000000000001</v>
      </c>
      <c r="G318">
        <v>109.9</v>
      </c>
      <c r="H318">
        <v>45</v>
      </c>
      <c r="I318">
        <v>236</v>
      </c>
      <c r="J318">
        <v>1</v>
      </c>
      <c r="K318">
        <v>173</v>
      </c>
      <c r="L318">
        <v>4</v>
      </c>
      <c r="M318">
        <v>17</v>
      </c>
      <c r="N318">
        <v>21</v>
      </c>
      <c r="O318">
        <v>10</v>
      </c>
      <c r="P318">
        <v>1</v>
      </c>
      <c r="Q318">
        <v>7</v>
      </c>
      <c r="R318">
        <v>2017</v>
      </c>
      <c r="S318">
        <v>22.337042929999999</v>
      </c>
      <c r="T318">
        <v>2808</v>
      </c>
      <c r="U318">
        <v>139.99</v>
      </c>
      <c r="V318">
        <v>4.2</v>
      </c>
      <c r="W318">
        <v>48.108333330000001</v>
      </c>
      <c r="X318">
        <v>109.9</v>
      </c>
      <c r="Y318">
        <v>4</v>
      </c>
      <c r="Z318">
        <v>12.015000000000001</v>
      </c>
      <c r="AA318">
        <v>109.9</v>
      </c>
      <c r="AB318">
        <v>4</v>
      </c>
      <c r="AC318">
        <v>12.015000000000001</v>
      </c>
      <c r="AD318">
        <v>100.9</v>
      </c>
      <c r="AE318">
        <f>Table1[[#This Row],[total_price]]/Table1[[#This Row],[qty]]</f>
        <v>109.9</v>
      </c>
      <c r="AF318">
        <f t="shared" si="4"/>
        <v>101.89999999999999</v>
      </c>
      <c r="AG318">
        <f>IF(ROW()=2, "", AVERAGE(D$2:D317))</f>
        <v>15.670886075949367</v>
      </c>
    </row>
    <row r="319" spans="1:33" x14ac:dyDescent="0.25">
      <c r="A319" t="s">
        <v>63</v>
      </c>
      <c r="B319" t="s">
        <v>48</v>
      </c>
      <c r="C319" s="1">
        <v>42743</v>
      </c>
      <c r="D319">
        <v>2</v>
      </c>
      <c r="E319">
        <v>219.8</v>
      </c>
      <c r="F319">
        <v>10.39</v>
      </c>
      <c r="G319">
        <v>109.9</v>
      </c>
      <c r="H319">
        <v>45</v>
      </c>
      <c r="I319">
        <v>236</v>
      </c>
      <c r="J319">
        <v>1</v>
      </c>
      <c r="K319">
        <v>173</v>
      </c>
      <c r="L319">
        <v>4</v>
      </c>
      <c r="M319">
        <v>15</v>
      </c>
      <c r="N319">
        <v>23</v>
      </c>
      <c r="O319">
        <v>8</v>
      </c>
      <c r="P319">
        <v>1</v>
      </c>
      <c r="Q319">
        <v>8</v>
      </c>
      <c r="R319">
        <v>2017</v>
      </c>
      <c r="S319">
        <v>3.1928987809999998</v>
      </c>
      <c r="T319">
        <v>2808</v>
      </c>
      <c r="U319">
        <v>145.70428570000001</v>
      </c>
      <c r="V319">
        <v>4.2</v>
      </c>
      <c r="W319">
        <v>36.46</v>
      </c>
      <c r="X319">
        <v>109.9</v>
      </c>
      <c r="Y319">
        <v>4</v>
      </c>
      <c r="Z319">
        <v>10.39</v>
      </c>
      <c r="AA319">
        <v>109.9</v>
      </c>
      <c r="AB319">
        <v>4</v>
      </c>
      <c r="AC319">
        <v>10.39</v>
      </c>
      <c r="AD319">
        <v>109.9</v>
      </c>
      <c r="AE319">
        <f>Table1[[#This Row],[total_price]]/Table1[[#This Row],[qty]]</f>
        <v>109.9</v>
      </c>
      <c r="AF319">
        <f t="shared" si="4"/>
        <v>109.9</v>
      </c>
      <c r="AG319">
        <f>IF(ROW()=2, "", AVERAGE(D$2:D318))</f>
        <v>15.652996845425868</v>
      </c>
    </row>
    <row r="320" spans="1:33" x14ac:dyDescent="0.25">
      <c r="A320" t="s">
        <v>63</v>
      </c>
      <c r="B320" t="s">
        <v>48</v>
      </c>
      <c r="C320" s="1">
        <v>42744</v>
      </c>
      <c r="D320">
        <v>4</v>
      </c>
      <c r="E320">
        <v>395.6</v>
      </c>
      <c r="F320">
        <v>14.975</v>
      </c>
      <c r="G320">
        <v>98.9</v>
      </c>
      <c r="H320">
        <v>45</v>
      </c>
      <c r="I320">
        <v>236</v>
      </c>
      <c r="J320">
        <v>1</v>
      </c>
      <c r="K320">
        <v>173</v>
      </c>
      <c r="L320">
        <v>4</v>
      </c>
      <c r="M320">
        <v>15</v>
      </c>
      <c r="N320">
        <v>21</v>
      </c>
      <c r="O320">
        <v>9</v>
      </c>
      <c r="P320">
        <v>1</v>
      </c>
      <c r="Q320">
        <v>9</v>
      </c>
      <c r="R320">
        <v>2017</v>
      </c>
      <c r="S320">
        <v>10.81081081</v>
      </c>
      <c r="T320">
        <v>2808</v>
      </c>
      <c r="U320">
        <v>151.99</v>
      </c>
      <c r="V320">
        <v>4.2</v>
      </c>
      <c r="W320">
        <v>43.72272727</v>
      </c>
      <c r="X320">
        <v>98.9</v>
      </c>
      <c r="Y320">
        <v>4</v>
      </c>
      <c r="Z320">
        <v>14.975</v>
      </c>
      <c r="AA320">
        <v>98.9</v>
      </c>
      <c r="AB320">
        <v>4</v>
      </c>
      <c r="AC320">
        <v>14.975</v>
      </c>
      <c r="AD320">
        <v>109.9</v>
      </c>
      <c r="AE320">
        <f>Table1[[#This Row],[total_price]]/Table1[[#This Row],[qty]]</f>
        <v>98.9</v>
      </c>
      <c r="AF320">
        <f t="shared" si="4"/>
        <v>109.9</v>
      </c>
      <c r="AG320">
        <f>IF(ROW()=2, "", AVERAGE(D$2:D319))</f>
        <v>15.610062893081761</v>
      </c>
    </row>
    <row r="321" spans="1:33" x14ac:dyDescent="0.25">
      <c r="A321" t="s">
        <v>63</v>
      </c>
      <c r="B321" t="s">
        <v>48</v>
      </c>
      <c r="C321" s="1">
        <v>42745</v>
      </c>
      <c r="D321">
        <v>4</v>
      </c>
      <c r="E321">
        <v>395.6</v>
      </c>
      <c r="F321">
        <v>17.122499999999999</v>
      </c>
      <c r="G321">
        <v>98.9</v>
      </c>
      <c r="H321">
        <v>45</v>
      </c>
      <c r="I321">
        <v>236</v>
      </c>
      <c r="J321">
        <v>1</v>
      </c>
      <c r="K321">
        <v>173</v>
      </c>
      <c r="L321">
        <v>4</v>
      </c>
      <c r="M321">
        <v>31</v>
      </c>
      <c r="N321">
        <v>22</v>
      </c>
      <c r="O321">
        <v>9</v>
      </c>
      <c r="P321">
        <v>2</v>
      </c>
      <c r="Q321">
        <v>10</v>
      </c>
      <c r="R321">
        <v>2017</v>
      </c>
      <c r="S321">
        <v>10.81081081</v>
      </c>
      <c r="T321">
        <v>2808</v>
      </c>
      <c r="U321">
        <v>154.69588239999999</v>
      </c>
      <c r="V321">
        <v>4.2</v>
      </c>
      <c r="W321">
        <v>43.88117647</v>
      </c>
      <c r="X321">
        <v>98.9</v>
      </c>
      <c r="Y321">
        <v>4</v>
      </c>
      <c r="Z321">
        <v>17.122499999999999</v>
      </c>
      <c r="AA321">
        <v>98.9</v>
      </c>
      <c r="AB321">
        <v>4</v>
      </c>
      <c r="AC321">
        <v>17.122499999999999</v>
      </c>
      <c r="AD321">
        <v>98.9</v>
      </c>
      <c r="AE321">
        <f>Table1[[#This Row],[total_price]]/Table1[[#This Row],[qty]]</f>
        <v>98.9</v>
      </c>
      <c r="AF321">
        <f t="shared" si="4"/>
        <v>98.9</v>
      </c>
      <c r="AG321">
        <f>IF(ROW()=2, "", AVERAGE(D$2:D320))</f>
        <v>15.573667711598747</v>
      </c>
    </row>
    <row r="322" spans="1:33" x14ac:dyDescent="0.25">
      <c r="A322" t="s">
        <v>63</v>
      </c>
      <c r="B322" t="s">
        <v>48</v>
      </c>
      <c r="C322" s="1">
        <v>42746</v>
      </c>
      <c r="D322">
        <v>6</v>
      </c>
      <c r="E322">
        <v>593.4</v>
      </c>
      <c r="F322">
        <v>16.14</v>
      </c>
      <c r="G322">
        <v>98.9</v>
      </c>
      <c r="H322">
        <v>45</v>
      </c>
      <c r="I322">
        <v>236</v>
      </c>
      <c r="J322">
        <v>1</v>
      </c>
      <c r="K322">
        <v>173</v>
      </c>
      <c r="L322">
        <v>4</v>
      </c>
      <c r="M322">
        <v>36</v>
      </c>
      <c r="N322">
        <v>22</v>
      </c>
      <c r="O322">
        <v>8</v>
      </c>
      <c r="P322">
        <v>4</v>
      </c>
      <c r="Q322">
        <v>11</v>
      </c>
      <c r="R322">
        <v>2017</v>
      </c>
      <c r="S322">
        <v>16.21621622</v>
      </c>
      <c r="T322">
        <v>2808</v>
      </c>
      <c r="U322">
        <v>149.99</v>
      </c>
      <c r="V322">
        <v>4.2</v>
      </c>
      <c r="W322">
        <v>42.517222220000001</v>
      </c>
      <c r="X322">
        <v>98.9</v>
      </c>
      <c r="Y322">
        <v>4</v>
      </c>
      <c r="Z322">
        <v>16.14</v>
      </c>
      <c r="AA322">
        <v>109.9</v>
      </c>
      <c r="AB322">
        <v>3.5</v>
      </c>
      <c r="AC322">
        <v>15.52</v>
      </c>
      <c r="AD322">
        <v>98.9</v>
      </c>
      <c r="AE322">
        <f>Table1[[#This Row],[total_price]]/Table1[[#This Row],[qty]]</f>
        <v>98.899999999999991</v>
      </c>
      <c r="AF322">
        <f t="shared" ref="AF322:AF385" si="5">IF(A322=A321,AE321,"")</f>
        <v>98.9</v>
      </c>
      <c r="AG322">
        <f>IF(ROW()=2, "", AVERAGE(D$2:D321))</f>
        <v>15.5375</v>
      </c>
    </row>
    <row r="323" spans="1:33" x14ac:dyDescent="0.25">
      <c r="A323" t="s">
        <v>63</v>
      </c>
      <c r="B323" t="s">
        <v>48</v>
      </c>
      <c r="C323" s="1">
        <v>42747</v>
      </c>
      <c r="D323">
        <v>1</v>
      </c>
      <c r="E323">
        <v>98.9</v>
      </c>
      <c r="F323">
        <v>13.71</v>
      </c>
      <c r="G323">
        <v>98.9</v>
      </c>
      <c r="H323">
        <v>45</v>
      </c>
      <c r="I323">
        <v>236</v>
      </c>
      <c r="J323">
        <v>1</v>
      </c>
      <c r="K323">
        <v>173</v>
      </c>
      <c r="L323">
        <v>4</v>
      </c>
      <c r="M323">
        <v>35</v>
      </c>
      <c r="N323">
        <v>21</v>
      </c>
      <c r="O323">
        <v>10</v>
      </c>
      <c r="P323">
        <v>1</v>
      </c>
      <c r="Q323">
        <v>12</v>
      </c>
      <c r="R323">
        <v>2017</v>
      </c>
      <c r="S323">
        <v>2.7027027029999999</v>
      </c>
      <c r="T323">
        <v>2808</v>
      </c>
      <c r="U323">
        <v>149.99</v>
      </c>
      <c r="V323">
        <v>4.2</v>
      </c>
      <c r="W323">
        <v>38.57</v>
      </c>
      <c r="X323">
        <v>98.9</v>
      </c>
      <c r="Y323">
        <v>4</v>
      </c>
      <c r="Z323">
        <v>13.71</v>
      </c>
      <c r="AA323">
        <v>109.9</v>
      </c>
      <c r="AB323">
        <v>3.5</v>
      </c>
      <c r="AC323">
        <v>25.249166670000001</v>
      </c>
      <c r="AD323">
        <v>98.9</v>
      </c>
      <c r="AE323">
        <f>Table1[[#This Row],[total_price]]/Table1[[#This Row],[qty]]</f>
        <v>98.9</v>
      </c>
      <c r="AF323">
        <f t="shared" si="5"/>
        <v>98.899999999999991</v>
      </c>
      <c r="AG323">
        <f>IF(ROW()=2, "", AVERAGE(D$2:D322))</f>
        <v>15.507788161993769</v>
      </c>
    </row>
    <row r="324" spans="1:33" x14ac:dyDescent="0.25">
      <c r="A324" t="s">
        <v>63</v>
      </c>
      <c r="B324" t="s">
        <v>48</v>
      </c>
      <c r="C324" s="1">
        <v>43101</v>
      </c>
      <c r="D324">
        <v>31</v>
      </c>
      <c r="E324">
        <v>2795.14</v>
      </c>
      <c r="F324">
        <v>14.08322581</v>
      </c>
      <c r="G324">
        <v>90.534000000000006</v>
      </c>
      <c r="H324">
        <v>45</v>
      </c>
      <c r="I324">
        <v>236</v>
      </c>
      <c r="J324">
        <v>1</v>
      </c>
      <c r="K324">
        <v>173</v>
      </c>
      <c r="L324">
        <v>4</v>
      </c>
      <c r="M324">
        <v>152</v>
      </c>
      <c r="N324">
        <v>23</v>
      </c>
      <c r="O324">
        <v>8</v>
      </c>
      <c r="P324">
        <v>2</v>
      </c>
      <c r="Q324">
        <v>1</v>
      </c>
      <c r="R324">
        <v>2018</v>
      </c>
      <c r="S324">
        <v>30.39215686</v>
      </c>
      <c r="T324">
        <v>2808</v>
      </c>
      <c r="U324">
        <v>156.5113514</v>
      </c>
      <c r="V324">
        <v>4.2</v>
      </c>
      <c r="W324">
        <v>36.807209299999997</v>
      </c>
      <c r="X324">
        <v>150.3545455</v>
      </c>
      <c r="Y324">
        <v>4.3</v>
      </c>
      <c r="Z324">
        <v>22.547727269999999</v>
      </c>
      <c r="AA324">
        <v>97.642499999999998</v>
      </c>
      <c r="AB324">
        <v>3.5</v>
      </c>
      <c r="AC324">
        <v>14.846551720000001</v>
      </c>
      <c r="AD324">
        <v>98.9</v>
      </c>
      <c r="AE324">
        <f>Table1[[#This Row],[total_price]]/Table1[[#This Row],[qty]]</f>
        <v>90.165806451612895</v>
      </c>
      <c r="AF324">
        <f t="shared" si="5"/>
        <v>98.9</v>
      </c>
      <c r="AG324">
        <f>IF(ROW()=2, "", AVERAGE(D$2:D323))</f>
        <v>15.462732919254659</v>
      </c>
    </row>
    <row r="325" spans="1:33" x14ac:dyDescent="0.25">
      <c r="A325" t="s">
        <v>63</v>
      </c>
      <c r="B325" t="s">
        <v>48</v>
      </c>
      <c r="C325" s="1">
        <v>43102</v>
      </c>
      <c r="D325">
        <v>30</v>
      </c>
      <c r="E325">
        <v>2537.19</v>
      </c>
      <c r="F325">
        <v>14.096</v>
      </c>
      <c r="G325">
        <v>84.756086960000005</v>
      </c>
      <c r="H325">
        <v>45</v>
      </c>
      <c r="I325">
        <v>236</v>
      </c>
      <c r="J325">
        <v>1</v>
      </c>
      <c r="K325">
        <v>173</v>
      </c>
      <c r="L325">
        <v>4</v>
      </c>
      <c r="M325">
        <v>202</v>
      </c>
      <c r="N325">
        <v>20</v>
      </c>
      <c r="O325">
        <v>8</v>
      </c>
      <c r="P325">
        <v>2</v>
      </c>
      <c r="Q325">
        <v>2</v>
      </c>
      <c r="R325">
        <v>2018</v>
      </c>
      <c r="S325">
        <v>29.41176471</v>
      </c>
      <c r="T325">
        <v>2808</v>
      </c>
      <c r="U325">
        <v>149</v>
      </c>
      <c r="V325">
        <v>4.2</v>
      </c>
      <c r="W325">
        <v>41.16322581</v>
      </c>
      <c r="X325">
        <v>149.9</v>
      </c>
      <c r="Y325">
        <v>4.3</v>
      </c>
      <c r="Z325">
        <v>26.552898549999998</v>
      </c>
      <c r="AA325">
        <v>78.712280699999994</v>
      </c>
      <c r="AB325">
        <v>3.5</v>
      </c>
      <c r="AC325">
        <v>14.535915490000001</v>
      </c>
      <c r="AD325">
        <v>90.534000000000006</v>
      </c>
      <c r="AE325">
        <f>Table1[[#This Row],[total_price]]/Table1[[#This Row],[qty]]</f>
        <v>84.573000000000008</v>
      </c>
      <c r="AF325">
        <f t="shared" si="5"/>
        <v>90.165806451612895</v>
      </c>
      <c r="AG325">
        <f>IF(ROW()=2, "", AVERAGE(D$2:D324))</f>
        <v>15.510835913312693</v>
      </c>
    </row>
    <row r="326" spans="1:33" x14ac:dyDescent="0.25">
      <c r="A326" t="s">
        <v>63</v>
      </c>
      <c r="B326" t="s">
        <v>48</v>
      </c>
      <c r="C326" s="1">
        <v>43103</v>
      </c>
      <c r="D326">
        <v>13</v>
      </c>
      <c r="E326">
        <v>1139.8</v>
      </c>
      <c r="F326">
        <v>11.67230769</v>
      </c>
      <c r="G326">
        <v>87.5</v>
      </c>
      <c r="H326">
        <v>45</v>
      </c>
      <c r="I326">
        <v>236</v>
      </c>
      <c r="J326">
        <v>1</v>
      </c>
      <c r="K326">
        <v>173</v>
      </c>
      <c r="L326">
        <v>4</v>
      </c>
      <c r="M326">
        <v>127</v>
      </c>
      <c r="N326">
        <v>22</v>
      </c>
      <c r="O326">
        <v>9</v>
      </c>
      <c r="P326">
        <v>1</v>
      </c>
      <c r="Q326">
        <v>3</v>
      </c>
      <c r="R326">
        <v>2018</v>
      </c>
      <c r="S326">
        <v>12.74509804</v>
      </c>
      <c r="T326">
        <v>2808</v>
      </c>
      <c r="U326">
        <v>136.14285709999999</v>
      </c>
      <c r="V326">
        <v>4.2</v>
      </c>
      <c r="W326">
        <v>48.047499999999999</v>
      </c>
      <c r="X326">
        <v>149.9</v>
      </c>
      <c r="Y326">
        <v>4.3</v>
      </c>
      <c r="Z326">
        <v>28.475882349999999</v>
      </c>
      <c r="AA326">
        <v>81.023913039999996</v>
      </c>
      <c r="AB326">
        <v>3.5</v>
      </c>
      <c r="AC326">
        <v>18.221481480000001</v>
      </c>
      <c r="AD326">
        <v>84.756086960000005</v>
      </c>
      <c r="AE326">
        <f>Table1[[#This Row],[total_price]]/Table1[[#This Row],[qty]]</f>
        <v>87.676923076923075</v>
      </c>
      <c r="AF326">
        <f t="shared" si="5"/>
        <v>84.573000000000008</v>
      </c>
      <c r="AG326">
        <f>IF(ROW()=2, "", AVERAGE(D$2:D325))</f>
        <v>15.555555555555555</v>
      </c>
    </row>
    <row r="327" spans="1:33" x14ac:dyDescent="0.25">
      <c r="A327" t="s">
        <v>63</v>
      </c>
      <c r="B327" t="s">
        <v>48</v>
      </c>
      <c r="C327" s="1">
        <v>43104</v>
      </c>
      <c r="D327">
        <v>5</v>
      </c>
      <c r="E327">
        <v>470</v>
      </c>
      <c r="F327">
        <v>15.48</v>
      </c>
      <c r="G327">
        <v>94</v>
      </c>
      <c r="H327">
        <v>45</v>
      </c>
      <c r="I327">
        <v>236</v>
      </c>
      <c r="J327">
        <v>1</v>
      </c>
      <c r="K327">
        <v>173</v>
      </c>
      <c r="L327">
        <v>4</v>
      </c>
      <c r="M327">
        <v>107</v>
      </c>
      <c r="N327">
        <v>21</v>
      </c>
      <c r="O327">
        <v>9</v>
      </c>
      <c r="P327">
        <v>1</v>
      </c>
      <c r="Q327">
        <v>4</v>
      </c>
      <c r="R327">
        <v>2018</v>
      </c>
      <c r="S327">
        <v>4.9019607839999999</v>
      </c>
      <c r="T327">
        <v>2808</v>
      </c>
      <c r="U327">
        <v>120.9230769</v>
      </c>
      <c r="V327">
        <v>4.2</v>
      </c>
      <c r="W327">
        <v>27.253035709999999</v>
      </c>
      <c r="X327">
        <v>149.9</v>
      </c>
      <c r="Y327">
        <v>4.3</v>
      </c>
      <c r="Z327">
        <v>30.227428570000001</v>
      </c>
      <c r="AA327">
        <v>80.666666669999998</v>
      </c>
      <c r="AB327">
        <v>3.5</v>
      </c>
      <c r="AC327">
        <v>18.17230769</v>
      </c>
      <c r="AD327">
        <v>87.5</v>
      </c>
      <c r="AE327">
        <f>Table1[[#This Row],[total_price]]/Table1[[#This Row],[qty]]</f>
        <v>94</v>
      </c>
      <c r="AF327">
        <f t="shared" si="5"/>
        <v>87.676923076923075</v>
      </c>
      <c r="AG327">
        <f>IF(ROW()=2, "", AVERAGE(D$2:D326))</f>
        <v>15.547692307692307</v>
      </c>
    </row>
    <row r="328" spans="1:33" x14ac:dyDescent="0.25">
      <c r="A328" t="s">
        <v>63</v>
      </c>
      <c r="B328" t="s">
        <v>48</v>
      </c>
      <c r="C328" s="1">
        <v>43106</v>
      </c>
      <c r="D328">
        <v>4</v>
      </c>
      <c r="E328">
        <v>292</v>
      </c>
      <c r="F328">
        <v>17.1875</v>
      </c>
      <c r="G328">
        <v>73</v>
      </c>
      <c r="H328">
        <v>45</v>
      </c>
      <c r="I328">
        <v>236</v>
      </c>
      <c r="J328">
        <v>1</v>
      </c>
      <c r="K328">
        <v>173</v>
      </c>
      <c r="L328">
        <v>4</v>
      </c>
      <c r="M328">
        <v>66</v>
      </c>
      <c r="N328">
        <v>21</v>
      </c>
      <c r="O328">
        <v>9</v>
      </c>
      <c r="P328">
        <v>0</v>
      </c>
      <c r="Q328">
        <v>6</v>
      </c>
      <c r="R328">
        <v>2018</v>
      </c>
      <c r="S328">
        <v>10.068892419999999</v>
      </c>
      <c r="T328">
        <v>2808</v>
      </c>
      <c r="U328">
        <v>114.49115380000001</v>
      </c>
      <c r="V328">
        <v>4.2</v>
      </c>
      <c r="W328">
        <v>53.625555560000002</v>
      </c>
      <c r="X328">
        <v>149.9</v>
      </c>
      <c r="Y328">
        <v>4.3</v>
      </c>
      <c r="Z328">
        <v>27.626666669999999</v>
      </c>
      <c r="AA328">
        <v>78.900000000000006</v>
      </c>
      <c r="AB328">
        <v>3.5</v>
      </c>
      <c r="AC328">
        <v>17.327999999999999</v>
      </c>
      <c r="AD328">
        <v>72.95</v>
      </c>
      <c r="AE328">
        <f>Table1[[#This Row],[total_price]]/Table1[[#This Row],[qty]]</f>
        <v>73</v>
      </c>
      <c r="AF328">
        <f t="shared" si="5"/>
        <v>94</v>
      </c>
      <c r="AG328">
        <f>IF(ROW()=2, "", AVERAGE(D$2:D327))</f>
        <v>15.515337423312884</v>
      </c>
    </row>
    <row r="329" spans="1:33" x14ac:dyDescent="0.25">
      <c r="A329" t="s">
        <v>63</v>
      </c>
      <c r="B329" t="s">
        <v>48</v>
      </c>
      <c r="C329" s="1">
        <v>43107</v>
      </c>
      <c r="D329">
        <v>18</v>
      </c>
      <c r="E329">
        <v>1199.48</v>
      </c>
      <c r="F329">
        <v>21.16444444</v>
      </c>
      <c r="G329">
        <v>66.342142859999996</v>
      </c>
      <c r="H329">
        <v>45</v>
      </c>
      <c r="I329">
        <v>236</v>
      </c>
      <c r="J329">
        <v>1</v>
      </c>
      <c r="K329">
        <v>173</v>
      </c>
      <c r="L329">
        <v>4</v>
      </c>
      <c r="M329">
        <v>43</v>
      </c>
      <c r="N329">
        <v>22</v>
      </c>
      <c r="O329">
        <v>9</v>
      </c>
      <c r="P329">
        <v>1</v>
      </c>
      <c r="Q329">
        <v>7</v>
      </c>
      <c r="R329">
        <v>2018</v>
      </c>
      <c r="S329">
        <v>22.337042929999999</v>
      </c>
      <c r="T329">
        <v>2808</v>
      </c>
      <c r="U329">
        <v>119.99</v>
      </c>
      <c r="V329">
        <v>4.2</v>
      </c>
      <c r="W329">
        <v>48.626666669999999</v>
      </c>
      <c r="X329">
        <v>149.9</v>
      </c>
      <c r="Y329">
        <v>4.3</v>
      </c>
      <c r="Z329">
        <v>33.571538459999999</v>
      </c>
      <c r="AA329">
        <v>77.900000000000006</v>
      </c>
      <c r="AB329">
        <v>3.5</v>
      </c>
      <c r="AC329">
        <v>14.638571430000001</v>
      </c>
      <c r="AD329">
        <v>73</v>
      </c>
      <c r="AE329">
        <f>Table1[[#This Row],[total_price]]/Table1[[#This Row],[qty]]</f>
        <v>66.637777777777785</v>
      </c>
      <c r="AF329">
        <f t="shared" si="5"/>
        <v>73</v>
      </c>
      <c r="AG329">
        <f>IF(ROW()=2, "", AVERAGE(D$2:D328))</f>
        <v>15.480122324159021</v>
      </c>
    </row>
    <row r="330" spans="1:33" x14ac:dyDescent="0.25">
      <c r="A330" t="s">
        <v>63</v>
      </c>
      <c r="B330" t="s">
        <v>48</v>
      </c>
      <c r="C330" s="1">
        <v>43108</v>
      </c>
      <c r="D330">
        <v>1</v>
      </c>
      <c r="E330">
        <v>79.900000000000006</v>
      </c>
      <c r="F330">
        <v>13.9</v>
      </c>
      <c r="G330">
        <v>79.900000000000006</v>
      </c>
      <c r="H330">
        <v>45</v>
      </c>
      <c r="I330">
        <v>236</v>
      </c>
      <c r="J330">
        <v>1</v>
      </c>
      <c r="K330">
        <v>173</v>
      </c>
      <c r="L330">
        <v>4</v>
      </c>
      <c r="M330">
        <v>18</v>
      </c>
      <c r="N330">
        <v>23</v>
      </c>
      <c r="O330">
        <v>8</v>
      </c>
      <c r="P330">
        <v>1</v>
      </c>
      <c r="Q330">
        <v>8</v>
      </c>
      <c r="R330">
        <v>2018</v>
      </c>
      <c r="S330">
        <v>3.1928987809999998</v>
      </c>
      <c r="T330">
        <v>2808</v>
      </c>
      <c r="U330">
        <v>119.99</v>
      </c>
      <c r="V330">
        <v>4.2</v>
      </c>
      <c r="W330">
        <v>39.045999999999999</v>
      </c>
      <c r="X330">
        <v>149.9</v>
      </c>
      <c r="Y330">
        <v>4.3</v>
      </c>
      <c r="Z330">
        <v>24.76</v>
      </c>
      <c r="AA330">
        <v>77.900000000000006</v>
      </c>
      <c r="AB330">
        <v>3.5</v>
      </c>
      <c r="AC330">
        <v>13.414999999999999</v>
      </c>
      <c r="AD330">
        <v>66.342142859999996</v>
      </c>
      <c r="AE330">
        <f>Table1[[#This Row],[total_price]]/Table1[[#This Row],[qty]]</f>
        <v>79.900000000000006</v>
      </c>
      <c r="AF330">
        <f t="shared" si="5"/>
        <v>66.637777777777785</v>
      </c>
      <c r="AG330">
        <f>IF(ROW()=2, "", AVERAGE(D$2:D329))</f>
        <v>15.487804878048781</v>
      </c>
    </row>
    <row r="331" spans="1:33" x14ac:dyDescent="0.25">
      <c r="A331" t="s">
        <v>64</v>
      </c>
      <c r="B331" t="s">
        <v>35</v>
      </c>
      <c r="C331" s="1">
        <v>42742</v>
      </c>
      <c r="D331">
        <v>1</v>
      </c>
      <c r="E331">
        <v>19.899999999999999</v>
      </c>
      <c r="F331">
        <v>11.85</v>
      </c>
      <c r="G331">
        <v>19.899999999999999</v>
      </c>
      <c r="H331">
        <v>56</v>
      </c>
      <c r="I331">
        <v>237</v>
      </c>
      <c r="J331">
        <v>3</v>
      </c>
      <c r="K331">
        <v>100</v>
      </c>
      <c r="L331">
        <v>3.9</v>
      </c>
      <c r="M331">
        <v>13</v>
      </c>
      <c r="N331">
        <v>21</v>
      </c>
      <c r="O331">
        <v>10</v>
      </c>
      <c r="P331">
        <v>1</v>
      </c>
      <c r="Q331">
        <v>7</v>
      </c>
      <c r="R331">
        <v>2017</v>
      </c>
      <c r="S331">
        <v>1.3698630140000001</v>
      </c>
      <c r="T331">
        <v>2304</v>
      </c>
      <c r="U331">
        <v>19.899999999999999</v>
      </c>
      <c r="V331">
        <v>4.2</v>
      </c>
      <c r="W331">
        <v>13.47307692</v>
      </c>
      <c r="X331">
        <v>19.899999999999999</v>
      </c>
      <c r="Y331">
        <v>3.9</v>
      </c>
      <c r="Z331">
        <v>11.85</v>
      </c>
      <c r="AA331">
        <v>19.899999999999999</v>
      </c>
      <c r="AB331">
        <v>3.9</v>
      </c>
      <c r="AC331">
        <v>11.85</v>
      </c>
      <c r="AD331">
        <v>19.850000000000001</v>
      </c>
      <c r="AE331">
        <f>Table1[[#This Row],[total_price]]/Table1[[#This Row],[qty]]</f>
        <v>19.899999999999999</v>
      </c>
      <c r="AF331" t="str">
        <f t="shared" si="5"/>
        <v/>
      </c>
      <c r="AG331">
        <f>IF(ROW()=2, "", AVERAGE(D$2:D330))</f>
        <v>15.443768996960486</v>
      </c>
    </row>
    <row r="332" spans="1:33" x14ac:dyDescent="0.25">
      <c r="A332" t="s">
        <v>64</v>
      </c>
      <c r="B332" t="s">
        <v>35</v>
      </c>
      <c r="C332" s="1">
        <v>42743</v>
      </c>
      <c r="D332">
        <v>11</v>
      </c>
      <c r="E332">
        <v>218.9</v>
      </c>
      <c r="F332">
        <v>15.832727269999999</v>
      </c>
      <c r="G332">
        <v>19.899999999999999</v>
      </c>
      <c r="H332">
        <v>56</v>
      </c>
      <c r="I332">
        <v>237</v>
      </c>
      <c r="J332">
        <v>3</v>
      </c>
      <c r="K332">
        <v>100</v>
      </c>
      <c r="L332">
        <v>3.9</v>
      </c>
      <c r="M332">
        <v>33</v>
      </c>
      <c r="N332">
        <v>23</v>
      </c>
      <c r="O332">
        <v>8</v>
      </c>
      <c r="P332">
        <v>1</v>
      </c>
      <c r="Q332">
        <v>8</v>
      </c>
      <c r="R332">
        <v>2017</v>
      </c>
      <c r="S332">
        <v>15.06849315</v>
      </c>
      <c r="T332">
        <v>2304</v>
      </c>
      <c r="U332">
        <v>19.899999999999999</v>
      </c>
      <c r="V332">
        <v>4.2</v>
      </c>
      <c r="W332">
        <v>16.16375</v>
      </c>
      <c r="X332">
        <v>19.899999999999999</v>
      </c>
      <c r="Y332">
        <v>3.9</v>
      </c>
      <c r="Z332">
        <v>15.832727269999999</v>
      </c>
      <c r="AA332">
        <v>19.899999999999999</v>
      </c>
      <c r="AB332">
        <v>3.9</v>
      </c>
      <c r="AC332">
        <v>15.832727269999999</v>
      </c>
      <c r="AD332">
        <v>19.899999999999999</v>
      </c>
      <c r="AE332">
        <f>Table1[[#This Row],[total_price]]/Table1[[#This Row],[qty]]</f>
        <v>19.900000000000002</v>
      </c>
      <c r="AF332">
        <f t="shared" si="5"/>
        <v>19.899999999999999</v>
      </c>
      <c r="AG332">
        <f>IF(ROW()=2, "", AVERAGE(D$2:D331))</f>
        <v>15.4</v>
      </c>
    </row>
    <row r="333" spans="1:33" x14ac:dyDescent="0.25">
      <c r="A333" t="s">
        <v>64</v>
      </c>
      <c r="B333" t="s">
        <v>35</v>
      </c>
      <c r="C333" s="1">
        <v>42744</v>
      </c>
      <c r="D333">
        <v>9</v>
      </c>
      <c r="E333">
        <v>179.1</v>
      </c>
      <c r="F333">
        <v>15.41111111</v>
      </c>
      <c r="G333">
        <v>19.899999999999999</v>
      </c>
      <c r="H333">
        <v>56</v>
      </c>
      <c r="I333">
        <v>237</v>
      </c>
      <c r="J333">
        <v>3</v>
      </c>
      <c r="K333">
        <v>100</v>
      </c>
      <c r="L333">
        <v>3.9</v>
      </c>
      <c r="M333">
        <v>17</v>
      </c>
      <c r="N333">
        <v>21</v>
      </c>
      <c r="O333">
        <v>9</v>
      </c>
      <c r="P333">
        <v>1</v>
      </c>
      <c r="Q333">
        <v>9</v>
      </c>
      <c r="R333">
        <v>2017</v>
      </c>
      <c r="S333">
        <v>12.32876712</v>
      </c>
      <c r="T333">
        <v>2304</v>
      </c>
      <c r="U333">
        <v>19.899999999999999</v>
      </c>
      <c r="V333">
        <v>4.2</v>
      </c>
      <c r="W333">
        <v>16.133333329999999</v>
      </c>
      <c r="X333">
        <v>19.899999999999999</v>
      </c>
      <c r="Y333">
        <v>3.9</v>
      </c>
      <c r="Z333">
        <v>15.41111111</v>
      </c>
      <c r="AA333">
        <v>19.899999999999999</v>
      </c>
      <c r="AB333">
        <v>3.9</v>
      </c>
      <c r="AC333">
        <v>15.41111111</v>
      </c>
      <c r="AD333">
        <v>19.899999999999999</v>
      </c>
      <c r="AE333">
        <f>Table1[[#This Row],[total_price]]/Table1[[#This Row],[qty]]</f>
        <v>19.899999999999999</v>
      </c>
      <c r="AF333">
        <f t="shared" si="5"/>
        <v>19.900000000000002</v>
      </c>
      <c r="AG333">
        <f>IF(ROW()=2, "", AVERAGE(D$2:D332))</f>
        <v>15.386706948640484</v>
      </c>
    </row>
    <row r="334" spans="1:33" x14ac:dyDescent="0.25">
      <c r="A334" t="s">
        <v>64</v>
      </c>
      <c r="B334" t="s">
        <v>35</v>
      </c>
      <c r="C334" s="1">
        <v>42745</v>
      </c>
      <c r="D334">
        <v>12</v>
      </c>
      <c r="E334">
        <v>248</v>
      </c>
      <c r="F334">
        <v>12.803333329999999</v>
      </c>
      <c r="G334">
        <v>20.666666670000001</v>
      </c>
      <c r="H334">
        <v>56</v>
      </c>
      <c r="I334">
        <v>237</v>
      </c>
      <c r="J334">
        <v>3</v>
      </c>
      <c r="K334">
        <v>100</v>
      </c>
      <c r="L334">
        <v>3.9</v>
      </c>
      <c r="M334">
        <v>38</v>
      </c>
      <c r="N334">
        <v>22</v>
      </c>
      <c r="O334">
        <v>9</v>
      </c>
      <c r="P334">
        <v>2</v>
      </c>
      <c r="Q334">
        <v>10</v>
      </c>
      <c r="R334">
        <v>2017</v>
      </c>
      <c r="S334">
        <v>16.438356160000001</v>
      </c>
      <c r="T334">
        <v>2304</v>
      </c>
      <c r="U334">
        <v>21.542857139999999</v>
      </c>
      <c r="V334">
        <v>4.2</v>
      </c>
      <c r="W334">
        <v>13.534285710000001</v>
      </c>
      <c r="X334">
        <v>20.666666670000001</v>
      </c>
      <c r="Y334">
        <v>3.9</v>
      </c>
      <c r="Z334">
        <v>12.803333329999999</v>
      </c>
      <c r="AA334">
        <v>20.666666670000001</v>
      </c>
      <c r="AB334">
        <v>3.9</v>
      </c>
      <c r="AC334">
        <v>12.803333329999999</v>
      </c>
      <c r="AD334">
        <v>19.899999999999999</v>
      </c>
      <c r="AE334">
        <f>Table1[[#This Row],[total_price]]/Table1[[#This Row],[qty]]</f>
        <v>20.666666666666668</v>
      </c>
      <c r="AF334">
        <f t="shared" si="5"/>
        <v>19.899999999999999</v>
      </c>
      <c r="AG334">
        <f>IF(ROW()=2, "", AVERAGE(D$2:D333))</f>
        <v>15.367469879518072</v>
      </c>
    </row>
    <row r="335" spans="1:33" x14ac:dyDescent="0.25">
      <c r="A335" t="s">
        <v>64</v>
      </c>
      <c r="B335" t="s">
        <v>35</v>
      </c>
      <c r="C335" s="1">
        <v>42746</v>
      </c>
      <c r="D335">
        <v>23</v>
      </c>
      <c r="E335">
        <v>563.5</v>
      </c>
      <c r="F335">
        <v>13.65217391</v>
      </c>
      <c r="G335">
        <v>24.5</v>
      </c>
      <c r="H335">
        <v>56</v>
      </c>
      <c r="I335">
        <v>237</v>
      </c>
      <c r="J335">
        <v>3</v>
      </c>
      <c r="K335">
        <v>100</v>
      </c>
      <c r="L335">
        <v>3.9</v>
      </c>
      <c r="M335">
        <v>49</v>
      </c>
      <c r="N335">
        <v>22</v>
      </c>
      <c r="O335">
        <v>8</v>
      </c>
      <c r="P335">
        <v>4</v>
      </c>
      <c r="Q335">
        <v>11</v>
      </c>
      <c r="R335">
        <v>2017</v>
      </c>
      <c r="S335">
        <v>31.506849320000001</v>
      </c>
      <c r="T335">
        <v>2304</v>
      </c>
      <c r="U335">
        <v>24.5</v>
      </c>
      <c r="V335">
        <v>4.2</v>
      </c>
      <c r="W335">
        <v>13.64535714</v>
      </c>
      <c r="X335">
        <v>24.5</v>
      </c>
      <c r="Y335">
        <v>3.9</v>
      </c>
      <c r="Z335">
        <v>13.65217391</v>
      </c>
      <c r="AA335">
        <v>24.5</v>
      </c>
      <c r="AB335">
        <v>3.9</v>
      </c>
      <c r="AC335">
        <v>13.65217391</v>
      </c>
      <c r="AD335">
        <v>20.666666670000001</v>
      </c>
      <c r="AE335">
        <f>Table1[[#This Row],[total_price]]/Table1[[#This Row],[qty]]</f>
        <v>24.5</v>
      </c>
      <c r="AF335">
        <f t="shared" si="5"/>
        <v>20.666666666666668</v>
      </c>
      <c r="AG335">
        <f>IF(ROW()=2, "", AVERAGE(D$2:D334))</f>
        <v>15.357357357357357</v>
      </c>
    </row>
    <row r="336" spans="1:33" x14ac:dyDescent="0.25">
      <c r="A336" t="s">
        <v>64</v>
      </c>
      <c r="B336" t="s">
        <v>35</v>
      </c>
      <c r="C336" s="1">
        <v>42747</v>
      </c>
      <c r="D336">
        <v>17</v>
      </c>
      <c r="E336">
        <v>416.5</v>
      </c>
      <c r="F336">
        <v>13.524705880000001</v>
      </c>
      <c r="G336">
        <v>24.5</v>
      </c>
      <c r="H336">
        <v>56</v>
      </c>
      <c r="I336">
        <v>237</v>
      </c>
      <c r="J336">
        <v>3</v>
      </c>
      <c r="K336">
        <v>100</v>
      </c>
      <c r="L336">
        <v>3.9</v>
      </c>
      <c r="M336">
        <v>30</v>
      </c>
      <c r="N336">
        <v>21</v>
      </c>
      <c r="O336">
        <v>10</v>
      </c>
      <c r="P336">
        <v>1</v>
      </c>
      <c r="Q336">
        <v>12</v>
      </c>
      <c r="R336">
        <v>2017</v>
      </c>
      <c r="S336">
        <v>23.287671230000001</v>
      </c>
      <c r="T336">
        <v>2304</v>
      </c>
      <c r="U336">
        <v>24.5</v>
      </c>
      <c r="V336">
        <v>4.2</v>
      </c>
      <c r="W336">
        <v>12.873749999999999</v>
      </c>
      <c r="X336">
        <v>24.5</v>
      </c>
      <c r="Y336">
        <v>3.9</v>
      </c>
      <c r="Z336">
        <v>13.524705880000001</v>
      </c>
      <c r="AA336">
        <v>24.5</v>
      </c>
      <c r="AB336">
        <v>3.9</v>
      </c>
      <c r="AC336">
        <v>13.524705880000001</v>
      </c>
      <c r="AD336">
        <v>24.5</v>
      </c>
      <c r="AE336">
        <f>Table1[[#This Row],[total_price]]/Table1[[#This Row],[qty]]</f>
        <v>24.5</v>
      </c>
      <c r="AF336">
        <f t="shared" si="5"/>
        <v>24.5</v>
      </c>
      <c r="AG336">
        <f>IF(ROW()=2, "", AVERAGE(D$2:D335))</f>
        <v>15.380239520958083</v>
      </c>
    </row>
    <row r="337" spans="1:33" x14ac:dyDescent="0.25">
      <c r="A337" t="s">
        <v>64</v>
      </c>
      <c r="B337" t="s">
        <v>35</v>
      </c>
      <c r="C337" s="1">
        <v>43101</v>
      </c>
      <c r="D337">
        <v>10</v>
      </c>
      <c r="E337">
        <v>271.2</v>
      </c>
      <c r="F337">
        <v>13.319000000000001</v>
      </c>
      <c r="G337">
        <v>27.033333330000001</v>
      </c>
      <c r="H337">
        <v>56</v>
      </c>
      <c r="I337">
        <v>237</v>
      </c>
      <c r="J337">
        <v>3</v>
      </c>
      <c r="K337">
        <v>100</v>
      </c>
      <c r="L337">
        <v>3.9</v>
      </c>
      <c r="M337">
        <v>9</v>
      </c>
      <c r="N337">
        <v>23</v>
      </c>
      <c r="O337">
        <v>8</v>
      </c>
      <c r="P337">
        <v>2</v>
      </c>
      <c r="Q337">
        <v>1</v>
      </c>
      <c r="R337">
        <v>2018</v>
      </c>
      <c r="S337">
        <v>41.666666669999998</v>
      </c>
      <c r="T337">
        <v>2304</v>
      </c>
      <c r="U337">
        <v>27.033333330000001</v>
      </c>
      <c r="V337">
        <v>3.9</v>
      </c>
      <c r="W337">
        <v>13.319000000000001</v>
      </c>
      <c r="X337">
        <v>27.033333330000001</v>
      </c>
      <c r="Y337">
        <v>3.9</v>
      </c>
      <c r="Z337">
        <v>13.319000000000001</v>
      </c>
      <c r="AA337">
        <v>27.033333330000001</v>
      </c>
      <c r="AB337">
        <v>3.9</v>
      </c>
      <c r="AC337">
        <v>13.319000000000001</v>
      </c>
      <c r="AD337">
        <v>24.5</v>
      </c>
      <c r="AE337">
        <f>Table1[[#This Row],[total_price]]/Table1[[#This Row],[qty]]</f>
        <v>27.119999999999997</v>
      </c>
      <c r="AF337">
        <f t="shared" si="5"/>
        <v>24.5</v>
      </c>
      <c r="AG337">
        <f>IF(ROW()=2, "", AVERAGE(D$2:D336))</f>
        <v>15.385074626865672</v>
      </c>
    </row>
    <row r="338" spans="1:33" x14ac:dyDescent="0.25">
      <c r="A338" t="s">
        <v>64</v>
      </c>
      <c r="B338" t="s">
        <v>35</v>
      </c>
      <c r="C338" s="1">
        <v>43102</v>
      </c>
      <c r="D338">
        <v>1</v>
      </c>
      <c r="E338">
        <v>32.5</v>
      </c>
      <c r="F338">
        <v>11.85</v>
      </c>
      <c r="G338">
        <v>32.5</v>
      </c>
      <c r="H338">
        <v>56</v>
      </c>
      <c r="I338">
        <v>237</v>
      </c>
      <c r="J338">
        <v>3</v>
      </c>
      <c r="K338">
        <v>100</v>
      </c>
      <c r="L338">
        <v>3.9</v>
      </c>
      <c r="M338">
        <v>6</v>
      </c>
      <c r="N338">
        <v>20</v>
      </c>
      <c r="O338">
        <v>8</v>
      </c>
      <c r="P338">
        <v>2</v>
      </c>
      <c r="Q338">
        <v>2</v>
      </c>
      <c r="R338">
        <v>2018</v>
      </c>
      <c r="S338">
        <v>4.1666666670000003</v>
      </c>
      <c r="T338">
        <v>2304</v>
      </c>
      <c r="U338">
        <v>32.5</v>
      </c>
      <c r="V338">
        <v>4.2</v>
      </c>
      <c r="W338">
        <v>15.256</v>
      </c>
      <c r="X338">
        <v>32.5</v>
      </c>
      <c r="Y338">
        <v>3.9</v>
      </c>
      <c r="Z338">
        <v>11.85</v>
      </c>
      <c r="AA338">
        <v>32.5</v>
      </c>
      <c r="AB338">
        <v>3.9</v>
      </c>
      <c r="AC338">
        <v>11.85</v>
      </c>
      <c r="AD338">
        <v>27.033333330000001</v>
      </c>
      <c r="AE338">
        <f>Table1[[#This Row],[total_price]]/Table1[[#This Row],[qty]]</f>
        <v>32.5</v>
      </c>
      <c r="AF338">
        <f t="shared" si="5"/>
        <v>27.119999999999997</v>
      </c>
      <c r="AG338">
        <f>IF(ROW()=2, "", AVERAGE(D$2:D337))</f>
        <v>15.369047619047619</v>
      </c>
    </row>
    <row r="339" spans="1:33" x14ac:dyDescent="0.25">
      <c r="A339" t="s">
        <v>64</v>
      </c>
      <c r="B339" t="s">
        <v>35</v>
      </c>
      <c r="C339" s="1">
        <v>43103</v>
      </c>
      <c r="D339">
        <v>7</v>
      </c>
      <c r="E339">
        <v>229.2</v>
      </c>
      <c r="F339">
        <v>14.02714286</v>
      </c>
      <c r="G339">
        <v>32.742857139999998</v>
      </c>
      <c r="H339">
        <v>56</v>
      </c>
      <c r="I339">
        <v>237</v>
      </c>
      <c r="J339">
        <v>3</v>
      </c>
      <c r="K339">
        <v>100</v>
      </c>
      <c r="L339">
        <v>3.9</v>
      </c>
      <c r="M339">
        <v>13</v>
      </c>
      <c r="N339">
        <v>22</v>
      </c>
      <c r="O339">
        <v>9</v>
      </c>
      <c r="P339">
        <v>1</v>
      </c>
      <c r="Q339">
        <v>3</v>
      </c>
      <c r="R339">
        <v>2018</v>
      </c>
      <c r="S339">
        <v>29.166666670000001</v>
      </c>
      <c r="T339">
        <v>2304</v>
      </c>
      <c r="U339">
        <v>32.5</v>
      </c>
      <c r="V339">
        <v>4.2</v>
      </c>
      <c r="W339">
        <v>18.056666669999998</v>
      </c>
      <c r="X339">
        <v>32.742857139999998</v>
      </c>
      <c r="Y339">
        <v>3.9</v>
      </c>
      <c r="Z339">
        <v>14.02714286</v>
      </c>
      <c r="AA339">
        <v>32.742857139999998</v>
      </c>
      <c r="AB339">
        <v>3.9</v>
      </c>
      <c r="AC339">
        <v>14.02714286</v>
      </c>
      <c r="AD339">
        <v>32.5</v>
      </c>
      <c r="AE339">
        <f>Table1[[#This Row],[total_price]]/Table1[[#This Row],[qty]]</f>
        <v>32.74285714285714</v>
      </c>
      <c r="AF339">
        <f t="shared" si="5"/>
        <v>32.5</v>
      </c>
      <c r="AG339">
        <f>IF(ROW()=2, "", AVERAGE(D$2:D338))</f>
        <v>15.326409495548962</v>
      </c>
    </row>
    <row r="340" spans="1:33" x14ac:dyDescent="0.25">
      <c r="A340" t="s">
        <v>64</v>
      </c>
      <c r="B340" t="s">
        <v>35</v>
      </c>
      <c r="C340" s="1">
        <v>43104</v>
      </c>
      <c r="D340">
        <v>6</v>
      </c>
      <c r="E340">
        <v>205.2</v>
      </c>
      <c r="F340">
        <v>15.015000000000001</v>
      </c>
      <c r="G340">
        <v>34.200000000000003</v>
      </c>
      <c r="H340">
        <v>56</v>
      </c>
      <c r="I340">
        <v>237</v>
      </c>
      <c r="J340">
        <v>3</v>
      </c>
      <c r="K340">
        <v>100</v>
      </c>
      <c r="L340">
        <v>3.9</v>
      </c>
      <c r="M340">
        <v>13</v>
      </c>
      <c r="N340">
        <v>21</v>
      </c>
      <c r="O340">
        <v>9</v>
      </c>
      <c r="P340">
        <v>1</v>
      </c>
      <c r="Q340">
        <v>4</v>
      </c>
      <c r="R340">
        <v>2018</v>
      </c>
      <c r="S340">
        <v>25</v>
      </c>
      <c r="T340">
        <v>2304</v>
      </c>
      <c r="U340">
        <v>35.057142859999999</v>
      </c>
      <c r="V340">
        <v>4.2</v>
      </c>
      <c r="W340">
        <v>12.985714290000001</v>
      </c>
      <c r="X340">
        <v>34.200000000000003</v>
      </c>
      <c r="Y340">
        <v>3.9</v>
      </c>
      <c r="Z340">
        <v>15.015000000000001</v>
      </c>
      <c r="AA340">
        <v>34.200000000000003</v>
      </c>
      <c r="AB340">
        <v>3.9</v>
      </c>
      <c r="AC340">
        <v>15.015000000000001</v>
      </c>
      <c r="AD340">
        <v>32.742857139999998</v>
      </c>
      <c r="AE340">
        <f>Table1[[#This Row],[total_price]]/Table1[[#This Row],[qty]]</f>
        <v>34.199999999999996</v>
      </c>
      <c r="AF340">
        <f t="shared" si="5"/>
        <v>32.74285714285714</v>
      </c>
      <c r="AG340">
        <f>IF(ROW()=2, "", AVERAGE(D$2:D339))</f>
        <v>15.301775147928995</v>
      </c>
    </row>
    <row r="341" spans="1:33" x14ac:dyDescent="0.25">
      <c r="A341" t="s">
        <v>65</v>
      </c>
      <c r="B341" t="s">
        <v>38</v>
      </c>
      <c r="C341" s="1">
        <v>42736</v>
      </c>
      <c r="D341">
        <v>8</v>
      </c>
      <c r="E341">
        <v>2799.2</v>
      </c>
      <c r="F341">
        <v>22.901250000000001</v>
      </c>
      <c r="G341">
        <v>349.9</v>
      </c>
      <c r="H341">
        <v>51</v>
      </c>
      <c r="I341">
        <v>625</v>
      </c>
      <c r="J341">
        <v>1</v>
      </c>
      <c r="K341">
        <v>900</v>
      </c>
      <c r="L341">
        <v>4.3</v>
      </c>
      <c r="M341">
        <v>9</v>
      </c>
      <c r="N341">
        <v>22</v>
      </c>
      <c r="O341">
        <v>9</v>
      </c>
      <c r="P341">
        <v>1</v>
      </c>
      <c r="Q341">
        <v>1</v>
      </c>
      <c r="R341">
        <v>2017</v>
      </c>
      <c r="S341">
        <v>12.77173913</v>
      </c>
      <c r="T341">
        <v>11400</v>
      </c>
      <c r="U341">
        <v>349.9</v>
      </c>
      <c r="V341">
        <v>4.3</v>
      </c>
      <c r="W341">
        <v>22.901250000000001</v>
      </c>
      <c r="X341">
        <v>349.9</v>
      </c>
      <c r="Y341">
        <v>4.3</v>
      </c>
      <c r="Z341">
        <v>22.901250000000001</v>
      </c>
      <c r="AA341">
        <v>64.989999999999995</v>
      </c>
      <c r="AB341">
        <v>3.9</v>
      </c>
      <c r="AC341">
        <v>11.06</v>
      </c>
      <c r="AD341">
        <v>349.85</v>
      </c>
      <c r="AE341">
        <f>Table1[[#This Row],[total_price]]/Table1[[#This Row],[qty]]</f>
        <v>349.9</v>
      </c>
      <c r="AF341" t="str">
        <f t="shared" si="5"/>
        <v/>
      </c>
      <c r="AG341">
        <f>IF(ROW()=2, "", AVERAGE(D$2:D340))</f>
        <v>15.274336283185841</v>
      </c>
    </row>
    <row r="342" spans="1:33" x14ac:dyDescent="0.25">
      <c r="A342" t="s">
        <v>65</v>
      </c>
      <c r="B342" t="s">
        <v>38</v>
      </c>
      <c r="C342" s="1">
        <v>42737</v>
      </c>
      <c r="D342">
        <v>4</v>
      </c>
      <c r="E342">
        <v>1399.6</v>
      </c>
      <c r="F342">
        <v>26.927499999999998</v>
      </c>
      <c r="G342">
        <v>349.9</v>
      </c>
      <c r="H342">
        <v>51</v>
      </c>
      <c r="I342">
        <v>625</v>
      </c>
      <c r="J342">
        <v>1</v>
      </c>
      <c r="K342">
        <v>900</v>
      </c>
      <c r="L342">
        <v>4.3</v>
      </c>
      <c r="M342">
        <v>19</v>
      </c>
      <c r="N342">
        <v>20</v>
      </c>
      <c r="O342">
        <v>8</v>
      </c>
      <c r="P342">
        <v>2</v>
      </c>
      <c r="Q342">
        <v>2</v>
      </c>
      <c r="R342">
        <v>2017</v>
      </c>
      <c r="S342">
        <v>11.27717391</v>
      </c>
      <c r="T342">
        <v>11400</v>
      </c>
      <c r="U342">
        <v>19.989999999999998</v>
      </c>
      <c r="V342">
        <v>4.3</v>
      </c>
      <c r="W342">
        <v>11.75090909</v>
      </c>
      <c r="X342">
        <v>349.9</v>
      </c>
      <c r="Y342">
        <v>4.3</v>
      </c>
      <c r="Z342">
        <v>26.927499999999998</v>
      </c>
      <c r="AA342">
        <v>64.989999999999995</v>
      </c>
      <c r="AB342">
        <v>3.9</v>
      </c>
      <c r="AC342">
        <v>15.348000000000001</v>
      </c>
      <c r="AD342">
        <v>349.9</v>
      </c>
      <c r="AE342">
        <f>Table1[[#This Row],[total_price]]/Table1[[#This Row],[qty]]</f>
        <v>349.9</v>
      </c>
      <c r="AF342">
        <f t="shared" si="5"/>
        <v>349.9</v>
      </c>
      <c r="AG342">
        <f>IF(ROW()=2, "", AVERAGE(D$2:D341))</f>
        <v>15.252941176470589</v>
      </c>
    </row>
    <row r="343" spans="1:33" x14ac:dyDescent="0.25">
      <c r="A343" t="s">
        <v>65</v>
      </c>
      <c r="B343" t="s">
        <v>38</v>
      </c>
      <c r="C343" s="1">
        <v>42738</v>
      </c>
      <c r="D343">
        <v>2</v>
      </c>
      <c r="E343">
        <v>699.8</v>
      </c>
      <c r="F343">
        <v>21.274999999999999</v>
      </c>
      <c r="G343">
        <v>349.9</v>
      </c>
      <c r="H343">
        <v>51</v>
      </c>
      <c r="I343">
        <v>625</v>
      </c>
      <c r="J343">
        <v>1</v>
      </c>
      <c r="K343">
        <v>900</v>
      </c>
      <c r="L343">
        <v>4.3</v>
      </c>
      <c r="M343">
        <v>25</v>
      </c>
      <c r="N343">
        <v>23</v>
      </c>
      <c r="O343">
        <v>8</v>
      </c>
      <c r="P343">
        <v>1</v>
      </c>
      <c r="Q343">
        <v>3</v>
      </c>
      <c r="R343">
        <v>2017</v>
      </c>
      <c r="S343">
        <v>10.801630429999999</v>
      </c>
      <c r="T343">
        <v>11400</v>
      </c>
      <c r="U343">
        <v>19.989999999999998</v>
      </c>
      <c r="V343">
        <v>4.3</v>
      </c>
      <c r="W343">
        <v>13.81888889</v>
      </c>
      <c r="X343">
        <v>89.99</v>
      </c>
      <c r="Y343">
        <v>4.0999999999999996</v>
      </c>
      <c r="Z343">
        <v>13.02</v>
      </c>
      <c r="AA343">
        <v>64.989999999999995</v>
      </c>
      <c r="AB343">
        <v>3.9</v>
      </c>
      <c r="AC343">
        <v>17.262222220000002</v>
      </c>
      <c r="AD343">
        <v>349.9</v>
      </c>
      <c r="AE343">
        <f>Table1[[#This Row],[total_price]]/Table1[[#This Row],[qty]]</f>
        <v>349.9</v>
      </c>
      <c r="AF343">
        <f t="shared" si="5"/>
        <v>349.9</v>
      </c>
      <c r="AG343">
        <f>IF(ROW()=2, "", AVERAGE(D$2:D342))</f>
        <v>15.219941348973608</v>
      </c>
    </row>
    <row r="344" spans="1:33" x14ac:dyDescent="0.25">
      <c r="A344" t="s">
        <v>65</v>
      </c>
      <c r="B344" t="s">
        <v>38</v>
      </c>
      <c r="C344" s="1">
        <v>42739</v>
      </c>
      <c r="D344">
        <v>1</v>
      </c>
      <c r="E344">
        <v>349.9</v>
      </c>
      <c r="F344">
        <v>19.29</v>
      </c>
      <c r="G344">
        <v>349.9</v>
      </c>
      <c r="H344">
        <v>51</v>
      </c>
      <c r="I344">
        <v>625</v>
      </c>
      <c r="J344">
        <v>1</v>
      </c>
      <c r="K344">
        <v>900</v>
      </c>
      <c r="L344">
        <v>4.3</v>
      </c>
      <c r="M344">
        <v>23</v>
      </c>
      <c r="N344">
        <v>20</v>
      </c>
      <c r="O344">
        <v>10</v>
      </c>
      <c r="P344">
        <v>2</v>
      </c>
      <c r="Q344">
        <v>4</v>
      </c>
      <c r="R344">
        <v>2017</v>
      </c>
      <c r="S344">
        <v>4.5855978259999999</v>
      </c>
      <c r="T344">
        <v>11400</v>
      </c>
      <c r="U344">
        <v>19.989999999999998</v>
      </c>
      <c r="V344">
        <v>4.3</v>
      </c>
      <c r="W344">
        <v>18.03846154</v>
      </c>
      <c r="X344">
        <v>349.9</v>
      </c>
      <c r="Y344">
        <v>4.3</v>
      </c>
      <c r="Z344">
        <v>19.29</v>
      </c>
      <c r="AA344">
        <v>64.989999999999995</v>
      </c>
      <c r="AB344">
        <v>3.9</v>
      </c>
      <c r="AC344">
        <v>15.16888889</v>
      </c>
      <c r="AD344">
        <v>349.9</v>
      </c>
      <c r="AE344">
        <f>Table1[[#This Row],[total_price]]/Table1[[#This Row],[qty]]</f>
        <v>349.9</v>
      </c>
      <c r="AF344">
        <f t="shared" si="5"/>
        <v>349.9</v>
      </c>
      <c r="AG344">
        <f>IF(ROW()=2, "", AVERAGE(D$2:D343))</f>
        <v>15.181286549707602</v>
      </c>
    </row>
    <row r="345" spans="1:33" x14ac:dyDescent="0.25">
      <c r="A345" t="s">
        <v>65</v>
      </c>
      <c r="B345" t="s">
        <v>38</v>
      </c>
      <c r="C345" s="1">
        <v>42740</v>
      </c>
      <c r="D345">
        <v>4</v>
      </c>
      <c r="E345">
        <v>1399.6</v>
      </c>
      <c r="F345">
        <v>26.73</v>
      </c>
      <c r="G345">
        <v>349.9</v>
      </c>
      <c r="H345">
        <v>51</v>
      </c>
      <c r="I345">
        <v>625</v>
      </c>
      <c r="J345">
        <v>1</v>
      </c>
      <c r="K345">
        <v>900</v>
      </c>
      <c r="L345">
        <v>4.3</v>
      </c>
      <c r="M345">
        <v>41</v>
      </c>
      <c r="N345">
        <v>23</v>
      </c>
      <c r="O345">
        <v>8</v>
      </c>
      <c r="P345">
        <v>1</v>
      </c>
      <c r="Q345">
        <v>5</v>
      </c>
      <c r="R345">
        <v>2017</v>
      </c>
      <c r="S345">
        <v>8.5597826090000009</v>
      </c>
      <c r="T345">
        <v>11400</v>
      </c>
      <c r="U345">
        <v>19.989999999999998</v>
      </c>
      <c r="V345">
        <v>4.3</v>
      </c>
      <c r="W345">
        <v>14.8475</v>
      </c>
      <c r="X345">
        <v>89.99</v>
      </c>
      <c r="Y345">
        <v>4.0999999999999996</v>
      </c>
      <c r="Z345">
        <v>16.098333329999999</v>
      </c>
      <c r="AA345">
        <v>64.989999999999995</v>
      </c>
      <c r="AB345">
        <v>3.9</v>
      </c>
      <c r="AC345">
        <v>14.811875000000001</v>
      </c>
      <c r="AD345">
        <v>349.9</v>
      </c>
      <c r="AE345">
        <f>Table1[[#This Row],[total_price]]/Table1[[#This Row],[qty]]</f>
        <v>349.9</v>
      </c>
      <c r="AF345">
        <f t="shared" si="5"/>
        <v>349.9</v>
      </c>
      <c r="AG345">
        <f>IF(ROW()=2, "", AVERAGE(D$2:D344))</f>
        <v>15.139941690962099</v>
      </c>
    </row>
    <row r="346" spans="1:33" x14ac:dyDescent="0.25">
      <c r="A346" t="s">
        <v>65</v>
      </c>
      <c r="B346" t="s">
        <v>38</v>
      </c>
      <c r="C346" s="1">
        <v>42741</v>
      </c>
      <c r="D346">
        <v>2</v>
      </c>
      <c r="E346">
        <v>699.8</v>
      </c>
      <c r="F346">
        <v>24.504999999999999</v>
      </c>
      <c r="G346">
        <v>349.9</v>
      </c>
      <c r="H346">
        <v>51</v>
      </c>
      <c r="I346">
        <v>625</v>
      </c>
      <c r="J346">
        <v>1</v>
      </c>
      <c r="K346">
        <v>900</v>
      </c>
      <c r="L346">
        <v>4.3</v>
      </c>
      <c r="M346">
        <v>53</v>
      </c>
      <c r="N346">
        <v>22</v>
      </c>
      <c r="O346">
        <v>8</v>
      </c>
      <c r="P346">
        <v>1</v>
      </c>
      <c r="Q346">
        <v>6</v>
      </c>
      <c r="R346">
        <v>2017</v>
      </c>
      <c r="S346">
        <v>7.5407608699999997</v>
      </c>
      <c r="T346">
        <v>11400</v>
      </c>
      <c r="U346">
        <v>19.989999999999998</v>
      </c>
      <c r="V346">
        <v>4.3</v>
      </c>
      <c r="W346">
        <v>12.68333333</v>
      </c>
      <c r="X346">
        <v>89.99</v>
      </c>
      <c r="Y346">
        <v>4.0999999999999996</v>
      </c>
      <c r="Z346">
        <v>14.16333333</v>
      </c>
      <c r="AA346">
        <v>58.799523809999997</v>
      </c>
      <c r="AB346">
        <v>3.9</v>
      </c>
      <c r="AC346">
        <v>13.903333330000001</v>
      </c>
      <c r="AD346">
        <v>349.9</v>
      </c>
      <c r="AE346">
        <f>Table1[[#This Row],[total_price]]/Table1[[#This Row],[qty]]</f>
        <v>349.9</v>
      </c>
      <c r="AF346">
        <f t="shared" si="5"/>
        <v>349.9</v>
      </c>
      <c r="AG346">
        <f>IF(ROW()=2, "", AVERAGE(D$2:D345))</f>
        <v>15.107558139534884</v>
      </c>
    </row>
    <row r="347" spans="1:33" x14ac:dyDescent="0.25">
      <c r="A347" t="s">
        <v>65</v>
      </c>
      <c r="B347" t="s">
        <v>38</v>
      </c>
      <c r="C347" s="1">
        <v>42742</v>
      </c>
      <c r="D347">
        <v>1</v>
      </c>
      <c r="E347">
        <v>349.9</v>
      </c>
      <c r="F347">
        <v>29.3</v>
      </c>
      <c r="G347">
        <v>349.9</v>
      </c>
      <c r="H347">
        <v>51</v>
      </c>
      <c r="I347">
        <v>625</v>
      </c>
      <c r="J347">
        <v>1</v>
      </c>
      <c r="K347">
        <v>900</v>
      </c>
      <c r="L347">
        <v>4.3</v>
      </c>
      <c r="M347">
        <v>61</v>
      </c>
      <c r="N347">
        <v>21</v>
      </c>
      <c r="O347">
        <v>10</v>
      </c>
      <c r="P347">
        <v>1</v>
      </c>
      <c r="Q347">
        <v>7</v>
      </c>
      <c r="R347">
        <v>2017</v>
      </c>
      <c r="S347">
        <v>6.7595108699999997</v>
      </c>
      <c r="T347">
        <v>11400</v>
      </c>
      <c r="U347">
        <v>19.989999999999998</v>
      </c>
      <c r="V347">
        <v>4.3</v>
      </c>
      <c r="W347">
        <v>11.135172409999999</v>
      </c>
      <c r="X347">
        <v>89.99</v>
      </c>
      <c r="Y347">
        <v>4.0999999999999996</v>
      </c>
      <c r="Z347">
        <v>12.11882353</v>
      </c>
      <c r="AA347">
        <v>59.256666670000001</v>
      </c>
      <c r="AB347">
        <v>3.9</v>
      </c>
      <c r="AC347">
        <v>17.998000000000001</v>
      </c>
      <c r="AD347">
        <v>349.9</v>
      </c>
      <c r="AE347">
        <f>Table1[[#This Row],[total_price]]/Table1[[#This Row],[qty]]</f>
        <v>349.9</v>
      </c>
      <c r="AF347">
        <f t="shared" si="5"/>
        <v>349.9</v>
      </c>
      <c r="AG347">
        <f>IF(ROW()=2, "", AVERAGE(D$2:D346))</f>
        <v>15.069565217391304</v>
      </c>
    </row>
    <row r="348" spans="1:33" x14ac:dyDescent="0.25">
      <c r="A348" t="s">
        <v>65</v>
      </c>
      <c r="B348" t="s">
        <v>38</v>
      </c>
      <c r="C348" s="1">
        <v>42743</v>
      </c>
      <c r="D348">
        <v>7</v>
      </c>
      <c r="E348">
        <v>2449.3000000000002</v>
      </c>
      <c r="F348">
        <v>29.94714286</v>
      </c>
      <c r="G348">
        <v>349.9</v>
      </c>
      <c r="H348">
        <v>51</v>
      </c>
      <c r="I348">
        <v>625</v>
      </c>
      <c r="J348">
        <v>1</v>
      </c>
      <c r="K348">
        <v>900</v>
      </c>
      <c r="L348">
        <v>4.3</v>
      </c>
      <c r="M348">
        <v>82</v>
      </c>
      <c r="N348">
        <v>23</v>
      </c>
      <c r="O348">
        <v>8</v>
      </c>
      <c r="P348">
        <v>1</v>
      </c>
      <c r="Q348">
        <v>8</v>
      </c>
      <c r="R348">
        <v>2017</v>
      </c>
      <c r="S348">
        <v>10.36005435</v>
      </c>
      <c r="T348">
        <v>11400</v>
      </c>
      <c r="U348">
        <v>23.39740741</v>
      </c>
      <c r="V348">
        <v>4.3</v>
      </c>
      <c r="W348">
        <v>14.27678571</v>
      </c>
      <c r="X348">
        <v>89.99</v>
      </c>
      <c r="Y348">
        <v>4.0999999999999996</v>
      </c>
      <c r="Z348">
        <v>13.410555560000001</v>
      </c>
      <c r="AA348">
        <v>58.99</v>
      </c>
      <c r="AB348">
        <v>3.9</v>
      </c>
      <c r="AC348">
        <v>16.240909089999999</v>
      </c>
      <c r="AD348">
        <v>349.9</v>
      </c>
      <c r="AE348">
        <f>Table1[[#This Row],[total_price]]/Table1[[#This Row],[qty]]</f>
        <v>349.90000000000003</v>
      </c>
      <c r="AF348">
        <f t="shared" si="5"/>
        <v>349.9</v>
      </c>
      <c r="AG348">
        <f>IF(ROW()=2, "", AVERAGE(D$2:D347))</f>
        <v>15.028901734104046</v>
      </c>
    </row>
    <row r="349" spans="1:33" x14ac:dyDescent="0.25">
      <c r="A349" t="s">
        <v>65</v>
      </c>
      <c r="B349" t="s">
        <v>38</v>
      </c>
      <c r="C349" s="1">
        <v>42744</v>
      </c>
      <c r="D349">
        <v>7</v>
      </c>
      <c r="E349">
        <v>2449.3000000000002</v>
      </c>
      <c r="F349">
        <v>26.582857140000002</v>
      </c>
      <c r="G349">
        <v>349.9</v>
      </c>
      <c r="H349">
        <v>51</v>
      </c>
      <c r="I349">
        <v>625</v>
      </c>
      <c r="J349">
        <v>1</v>
      </c>
      <c r="K349">
        <v>900</v>
      </c>
      <c r="L349">
        <v>4.3</v>
      </c>
      <c r="M349">
        <v>89</v>
      </c>
      <c r="N349">
        <v>21</v>
      </c>
      <c r="O349">
        <v>9</v>
      </c>
      <c r="P349">
        <v>1</v>
      </c>
      <c r="Q349">
        <v>9</v>
      </c>
      <c r="R349">
        <v>2017</v>
      </c>
      <c r="S349">
        <v>10.9375</v>
      </c>
      <c r="T349">
        <v>11400</v>
      </c>
      <c r="U349">
        <v>23.99</v>
      </c>
      <c r="V349">
        <v>4.3</v>
      </c>
      <c r="W349">
        <v>16.12</v>
      </c>
      <c r="X349">
        <v>89.99</v>
      </c>
      <c r="Y349">
        <v>4.0999999999999996</v>
      </c>
      <c r="Z349">
        <v>13.96428571</v>
      </c>
      <c r="AA349">
        <v>58.99</v>
      </c>
      <c r="AB349">
        <v>3.9</v>
      </c>
      <c r="AC349">
        <v>15.639200000000001</v>
      </c>
      <c r="AD349">
        <v>349.9</v>
      </c>
      <c r="AE349">
        <f>Table1[[#This Row],[total_price]]/Table1[[#This Row],[qty]]</f>
        <v>349.90000000000003</v>
      </c>
      <c r="AF349">
        <f t="shared" si="5"/>
        <v>349.90000000000003</v>
      </c>
      <c r="AG349">
        <f>IF(ROW()=2, "", AVERAGE(D$2:D348))</f>
        <v>15.005763688760807</v>
      </c>
    </row>
    <row r="350" spans="1:33" x14ac:dyDescent="0.25">
      <c r="A350" t="s">
        <v>65</v>
      </c>
      <c r="B350" t="s">
        <v>38</v>
      </c>
      <c r="C350" s="1">
        <v>42745</v>
      </c>
      <c r="D350">
        <v>10</v>
      </c>
      <c r="E350">
        <v>3499</v>
      </c>
      <c r="F350">
        <v>22.84</v>
      </c>
      <c r="G350">
        <v>349.9</v>
      </c>
      <c r="H350">
        <v>51</v>
      </c>
      <c r="I350">
        <v>625</v>
      </c>
      <c r="J350">
        <v>1</v>
      </c>
      <c r="K350">
        <v>900</v>
      </c>
      <c r="L350">
        <v>4.3</v>
      </c>
      <c r="M350">
        <v>81</v>
      </c>
      <c r="N350">
        <v>22</v>
      </c>
      <c r="O350">
        <v>9</v>
      </c>
      <c r="P350">
        <v>2</v>
      </c>
      <c r="Q350">
        <v>10</v>
      </c>
      <c r="R350">
        <v>2017</v>
      </c>
      <c r="S350">
        <v>15.625</v>
      </c>
      <c r="T350">
        <v>11400</v>
      </c>
      <c r="U350">
        <v>23.99</v>
      </c>
      <c r="V350">
        <v>4.3</v>
      </c>
      <c r="W350">
        <v>13.13666667</v>
      </c>
      <c r="X350">
        <v>89.99</v>
      </c>
      <c r="Y350">
        <v>4.0999999999999996</v>
      </c>
      <c r="Z350">
        <v>16.56291667</v>
      </c>
      <c r="AA350">
        <v>58.99</v>
      </c>
      <c r="AB350">
        <v>3.9</v>
      </c>
      <c r="AC350">
        <v>19.065263160000001</v>
      </c>
      <c r="AD350">
        <v>349.9</v>
      </c>
      <c r="AE350">
        <f>Table1[[#This Row],[total_price]]/Table1[[#This Row],[qty]]</f>
        <v>349.9</v>
      </c>
      <c r="AF350">
        <f t="shared" si="5"/>
        <v>349.90000000000003</v>
      </c>
      <c r="AG350">
        <f>IF(ROW()=2, "", AVERAGE(D$2:D349))</f>
        <v>14.982758620689655</v>
      </c>
    </row>
    <row r="351" spans="1:33" x14ac:dyDescent="0.25">
      <c r="A351" t="s">
        <v>65</v>
      </c>
      <c r="B351" t="s">
        <v>38</v>
      </c>
      <c r="C351" s="1">
        <v>42746</v>
      </c>
      <c r="D351">
        <v>11</v>
      </c>
      <c r="E351">
        <v>3543.5</v>
      </c>
      <c r="F351">
        <v>20.47818182</v>
      </c>
      <c r="G351">
        <v>322.13636359999998</v>
      </c>
      <c r="H351">
        <v>51</v>
      </c>
      <c r="I351">
        <v>625</v>
      </c>
      <c r="J351">
        <v>1</v>
      </c>
      <c r="K351">
        <v>900</v>
      </c>
      <c r="L351">
        <v>4.3</v>
      </c>
      <c r="M351">
        <v>139</v>
      </c>
      <c r="N351">
        <v>22</v>
      </c>
      <c r="O351">
        <v>8</v>
      </c>
      <c r="P351">
        <v>4</v>
      </c>
      <c r="Q351">
        <v>11</v>
      </c>
      <c r="R351">
        <v>2017</v>
      </c>
      <c r="S351">
        <v>17.1875</v>
      </c>
      <c r="T351">
        <v>11400</v>
      </c>
      <c r="U351">
        <v>23.99</v>
      </c>
      <c r="V351">
        <v>4.3</v>
      </c>
      <c r="W351">
        <v>12.37535714</v>
      </c>
      <c r="X351">
        <v>89.99</v>
      </c>
      <c r="Y351">
        <v>4.0999999999999996</v>
      </c>
      <c r="Z351">
        <v>16.99038462</v>
      </c>
      <c r="AA351">
        <v>58.99</v>
      </c>
      <c r="AB351">
        <v>3.9</v>
      </c>
      <c r="AC351">
        <v>15.71166667</v>
      </c>
      <c r="AD351">
        <v>349.9</v>
      </c>
      <c r="AE351">
        <f>Table1[[#This Row],[total_price]]/Table1[[#This Row],[qty]]</f>
        <v>322.13636363636363</v>
      </c>
      <c r="AF351">
        <f t="shared" si="5"/>
        <v>349.9</v>
      </c>
      <c r="AG351">
        <f>IF(ROW()=2, "", AVERAGE(D$2:D350))</f>
        <v>14.968481375358166</v>
      </c>
    </row>
    <row r="352" spans="1:33" x14ac:dyDescent="0.25">
      <c r="A352" t="s">
        <v>65</v>
      </c>
      <c r="B352" t="s">
        <v>38</v>
      </c>
      <c r="C352" s="1">
        <v>42747</v>
      </c>
      <c r="D352">
        <v>7</v>
      </c>
      <c r="E352">
        <v>2449.3000000000002</v>
      </c>
      <c r="F352">
        <v>29.09285714</v>
      </c>
      <c r="G352">
        <v>349.9</v>
      </c>
      <c r="H352">
        <v>51</v>
      </c>
      <c r="I352">
        <v>625</v>
      </c>
      <c r="J352">
        <v>1</v>
      </c>
      <c r="K352">
        <v>900</v>
      </c>
      <c r="L352">
        <v>4.3</v>
      </c>
      <c r="M352">
        <v>112</v>
      </c>
      <c r="N352">
        <v>21</v>
      </c>
      <c r="O352">
        <v>10</v>
      </c>
      <c r="P352">
        <v>1</v>
      </c>
      <c r="Q352">
        <v>12</v>
      </c>
      <c r="R352">
        <v>2017</v>
      </c>
      <c r="S352">
        <v>10.9375</v>
      </c>
      <c r="T352">
        <v>11400</v>
      </c>
      <c r="U352">
        <v>23.99</v>
      </c>
      <c r="V352">
        <v>4.3</v>
      </c>
      <c r="W352">
        <v>12.45684211</v>
      </c>
      <c r="X352">
        <v>89.99</v>
      </c>
      <c r="Y352">
        <v>4.0999999999999996</v>
      </c>
      <c r="Z352">
        <v>15.89473684</v>
      </c>
      <c r="AA352">
        <v>58.99</v>
      </c>
      <c r="AB352">
        <v>3.9</v>
      </c>
      <c r="AC352">
        <v>16.332222219999998</v>
      </c>
      <c r="AD352">
        <v>322.13636359999998</v>
      </c>
      <c r="AE352">
        <f>Table1[[#This Row],[total_price]]/Table1[[#This Row],[qty]]</f>
        <v>349.90000000000003</v>
      </c>
      <c r="AF352">
        <f t="shared" si="5"/>
        <v>322.13636363636363</v>
      </c>
      <c r="AG352">
        <f>IF(ROW()=2, "", AVERAGE(D$2:D351))</f>
        <v>14.957142857142857</v>
      </c>
    </row>
    <row r="353" spans="1:33" x14ac:dyDescent="0.25">
      <c r="A353" t="s">
        <v>65</v>
      </c>
      <c r="B353" t="s">
        <v>38</v>
      </c>
      <c r="C353" s="1">
        <v>43101</v>
      </c>
      <c r="D353">
        <v>12</v>
      </c>
      <c r="E353">
        <v>4198.8</v>
      </c>
      <c r="F353">
        <v>28.41416667</v>
      </c>
      <c r="G353">
        <v>349.9</v>
      </c>
      <c r="H353">
        <v>51</v>
      </c>
      <c r="I353">
        <v>625</v>
      </c>
      <c r="J353">
        <v>1</v>
      </c>
      <c r="K353">
        <v>900</v>
      </c>
      <c r="L353">
        <v>4.3</v>
      </c>
      <c r="M353">
        <v>98</v>
      </c>
      <c r="N353">
        <v>23</v>
      </c>
      <c r="O353">
        <v>8</v>
      </c>
      <c r="P353">
        <v>2</v>
      </c>
      <c r="Q353">
        <v>1</v>
      </c>
      <c r="R353">
        <v>2018</v>
      </c>
      <c r="S353">
        <v>12.77173913</v>
      </c>
      <c r="T353">
        <v>11400</v>
      </c>
      <c r="U353">
        <v>23.99</v>
      </c>
      <c r="V353">
        <v>4.3</v>
      </c>
      <c r="W353">
        <v>11.28736842</v>
      </c>
      <c r="X353">
        <v>89.99</v>
      </c>
      <c r="Y353">
        <v>4.0999999999999996</v>
      </c>
      <c r="Z353">
        <v>14.811</v>
      </c>
      <c r="AA353">
        <v>58.99</v>
      </c>
      <c r="AB353">
        <v>3.9</v>
      </c>
      <c r="AC353">
        <v>22.678333330000001</v>
      </c>
      <c r="AD353">
        <v>349.9</v>
      </c>
      <c r="AE353">
        <f>Table1[[#This Row],[total_price]]/Table1[[#This Row],[qty]]</f>
        <v>349.90000000000003</v>
      </c>
      <c r="AF353">
        <f t="shared" si="5"/>
        <v>349.90000000000003</v>
      </c>
      <c r="AG353">
        <f>IF(ROW()=2, "", AVERAGE(D$2:D352))</f>
        <v>14.934472934472934</v>
      </c>
    </row>
    <row r="354" spans="1:33" x14ac:dyDescent="0.25">
      <c r="A354" t="s">
        <v>65</v>
      </c>
      <c r="B354" t="s">
        <v>38</v>
      </c>
      <c r="C354" s="1">
        <v>43102</v>
      </c>
      <c r="D354">
        <v>15</v>
      </c>
      <c r="E354">
        <v>5248.5</v>
      </c>
      <c r="F354">
        <v>23.205333329999998</v>
      </c>
      <c r="G354">
        <v>349.9</v>
      </c>
      <c r="H354">
        <v>51</v>
      </c>
      <c r="I354">
        <v>625</v>
      </c>
      <c r="J354">
        <v>1</v>
      </c>
      <c r="K354">
        <v>900</v>
      </c>
      <c r="L354">
        <v>4.3</v>
      </c>
      <c r="M354">
        <v>126</v>
      </c>
      <c r="N354">
        <v>20</v>
      </c>
      <c r="O354">
        <v>8</v>
      </c>
      <c r="P354">
        <v>2</v>
      </c>
      <c r="Q354">
        <v>2</v>
      </c>
      <c r="R354">
        <v>2018</v>
      </c>
      <c r="S354">
        <v>11.27717391</v>
      </c>
      <c r="T354">
        <v>11400</v>
      </c>
      <c r="U354">
        <v>23.99</v>
      </c>
      <c r="V354">
        <v>4.3</v>
      </c>
      <c r="W354">
        <v>12.55</v>
      </c>
      <c r="X354">
        <v>89.99</v>
      </c>
      <c r="Y354">
        <v>4.0999999999999996</v>
      </c>
      <c r="Z354">
        <v>16.307647060000001</v>
      </c>
      <c r="AA354">
        <v>58.99</v>
      </c>
      <c r="AB354">
        <v>3.9</v>
      </c>
      <c r="AC354">
        <v>19.574999999999999</v>
      </c>
      <c r="AD354">
        <v>349.9</v>
      </c>
      <c r="AE354">
        <f>Table1[[#This Row],[total_price]]/Table1[[#This Row],[qty]]</f>
        <v>349.9</v>
      </c>
      <c r="AF354">
        <f t="shared" si="5"/>
        <v>349.90000000000003</v>
      </c>
      <c r="AG354">
        <f>IF(ROW()=2, "", AVERAGE(D$2:D353))</f>
        <v>14.926136363636363</v>
      </c>
    </row>
    <row r="355" spans="1:33" x14ac:dyDescent="0.25">
      <c r="A355" t="s">
        <v>65</v>
      </c>
      <c r="B355" t="s">
        <v>38</v>
      </c>
      <c r="C355" s="1">
        <v>43103</v>
      </c>
      <c r="D355">
        <v>17</v>
      </c>
      <c r="E355">
        <v>5948.3</v>
      </c>
      <c r="F355">
        <v>29.6</v>
      </c>
      <c r="G355">
        <v>349.9</v>
      </c>
      <c r="H355">
        <v>51</v>
      </c>
      <c r="I355">
        <v>625</v>
      </c>
      <c r="J355">
        <v>1</v>
      </c>
      <c r="K355">
        <v>900</v>
      </c>
      <c r="L355">
        <v>4.3</v>
      </c>
      <c r="M355">
        <v>169</v>
      </c>
      <c r="N355">
        <v>22</v>
      </c>
      <c r="O355">
        <v>9</v>
      </c>
      <c r="P355">
        <v>1</v>
      </c>
      <c r="Q355">
        <v>3</v>
      </c>
      <c r="R355">
        <v>2018</v>
      </c>
      <c r="S355">
        <v>10.801630429999999</v>
      </c>
      <c r="T355">
        <v>11400</v>
      </c>
      <c r="U355">
        <v>23.99</v>
      </c>
      <c r="V355">
        <v>4.3</v>
      </c>
      <c r="W355">
        <v>14.19875</v>
      </c>
      <c r="X355">
        <v>83.74</v>
      </c>
      <c r="Y355">
        <v>4.0999999999999996</v>
      </c>
      <c r="Z355">
        <v>11.876875</v>
      </c>
      <c r="AA355">
        <v>58.99</v>
      </c>
      <c r="AB355">
        <v>3.9</v>
      </c>
      <c r="AC355">
        <v>15.228</v>
      </c>
      <c r="AD355">
        <v>349.9</v>
      </c>
      <c r="AE355">
        <f>Table1[[#This Row],[total_price]]/Table1[[#This Row],[qty]]</f>
        <v>349.90000000000003</v>
      </c>
      <c r="AF355">
        <f t="shared" si="5"/>
        <v>349.9</v>
      </c>
      <c r="AG355">
        <f>IF(ROW()=2, "", AVERAGE(D$2:D354))</f>
        <v>14.926345609065155</v>
      </c>
    </row>
    <row r="356" spans="1:33" x14ac:dyDescent="0.25">
      <c r="A356" t="s">
        <v>65</v>
      </c>
      <c r="B356" t="s">
        <v>38</v>
      </c>
      <c r="C356" s="1">
        <v>43104</v>
      </c>
      <c r="D356">
        <v>7</v>
      </c>
      <c r="E356">
        <v>2449.3000000000002</v>
      </c>
      <c r="F356">
        <v>25.641428569999999</v>
      </c>
      <c r="G356">
        <v>349.9</v>
      </c>
      <c r="H356">
        <v>51</v>
      </c>
      <c r="I356">
        <v>625</v>
      </c>
      <c r="J356">
        <v>1</v>
      </c>
      <c r="K356">
        <v>900</v>
      </c>
      <c r="L356">
        <v>4.3</v>
      </c>
      <c r="M356">
        <v>118</v>
      </c>
      <c r="N356">
        <v>21</v>
      </c>
      <c r="O356">
        <v>9</v>
      </c>
      <c r="P356">
        <v>1</v>
      </c>
      <c r="Q356">
        <v>4</v>
      </c>
      <c r="R356">
        <v>2018</v>
      </c>
      <c r="S356">
        <v>4.5855978259999999</v>
      </c>
      <c r="T356">
        <v>11400</v>
      </c>
      <c r="U356">
        <v>349.9</v>
      </c>
      <c r="V356">
        <v>4.3</v>
      </c>
      <c r="W356">
        <v>25.641428569999999</v>
      </c>
      <c r="X356">
        <v>79.989999999999995</v>
      </c>
      <c r="Y356">
        <v>4.0999999999999996</v>
      </c>
      <c r="Z356">
        <v>14.484999999999999</v>
      </c>
      <c r="AA356">
        <v>58.99</v>
      </c>
      <c r="AB356">
        <v>3.9</v>
      </c>
      <c r="AC356">
        <v>16.302727269999998</v>
      </c>
      <c r="AD356">
        <v>349.9</v>
      </c>
      <c r="AE356">
        <f>Table1[[#This Row],[total_price]]/Table1[[#This Row],[qty]]</f>
        <v>349.90000000000003</v>
      </c>
      <c r="AF356">
        <f t="shared" si="5"/>
        <v>349.90000000000003</v>
      </c>
      <c r="AG356">
        <f>IF(ROW()=2, "", AVERAGE(D$2:D355))</f>
        <v>14.932203389830509</v>
      </c>
    </row>
    <row r="357" spans="1:33" x14ac:dyDescent="0.25">
      <c r="A357" t="s">
        <v>65</v>
      </c>
      <c r="B357" t="s">
        <v>38</v>
      </c>
      <c r="C357" s="1">
        <v>43105</v>
      </c>
      <c r="D357">
        <v>10</v>
      </c>
      <c r="E357">
        <v>3513.1</v>
      </c>
      <c r="F357">
        <v>38.57</v>
      </c>
      <c r="G357">
        <v>352.25</v>
      </c>
      <c r="H357">
        <v>51</v>
      </c>
      <c r="I357">
        <v>625</v>
      </c>
      <c r="J357">
        <v>1</v>
      </c>
      <c r="K357">
        <v>900</v>
      </c>
      <c r="L357">
        <v>4.3</v>
      </c>
      <c r="M357">
        <v>159</v>
      </c>
      <c r="N357">
        <v>23</v>
      </c>
      <c r="O357">
        <v>8</v>
      </c>
      <c r="P357">
        <v>3</v>
      </c>
      <c r="Q357">
        <v>5</v>
      </c>
      <c r="R357">
        <v>2018</v>
      </c>
      <c r="S357">
        <v>8.5597826090000009</v>
      </c>
      <c r="T357">
        <v>11400</v>
      </c>
      <c r="U357">
        <v>23.99</v>
      </c>
      <c r="V357">
        <v>4.3</v>
      </c>
      <c r="W357">
        <v>7.9885714290000003</v>
      </c>
      <c r="X357">
        <v>79.989999999999995</v>
      </c>
      <c r="Y357">
        <v>4.0999999999999996</v>
      </c>
      <c r="Z357">
        <v>21.943124999999998</v>
      </c>
      <c r="AA357">
        <v>58.99</v>
      </c>
      <c r="AB357">
        <v>3.9</v>
      </c>
      <c r="AC357">
        <v>9.4224999999999994</v>
      </c>
      <c r="AD357">
        <v>349.9</v>
      </c>
      <c r="AE357">
        <f>Table1[[#This Row],[total_price]]/Table1[[#This Row],[qty]]</f>
        <v>351.31</v>
      </c>
      <c r="AF357">
        <f t="shared" si="5"/>
        <v>349.90000000000003</v>
      </c>
      <c r="AG357">
        <f>IF(ROW()=2, "", AVERAGE(D$2:D356))</f>
        <v>14.909859154929578</v>
      </c>
    </row>
    <row r="358" spans="1:33" x14ac:dyDescent="0.25">
      <c r="A358" t="s">
        <v>65</v>
      </c>
      <c r="B358" t="s">
        <v>38</v>
      </c>
      <c r="C358" s="1">
        <v>43106</v>
      </c>
      <c r="D358">
        <v>11</v>
      </c>
      <c r="E358">
        <v>4004</v>
      </c>
      <c r="F358">
        <v>32.697272730000002</v>
      </c>
      <c r="G358">
        <v>364</v>
      </c>
      <c r="H358">
        <v>51</v>
      </c>
      <c r="I358">
        <v>625</v>
      </c>
      <c r="J358">
        <v>1</v>
      </c>
      <c r="K358">
        <v>900</v>
      </c>
      <c r="L358">
        <v>4.3</v>
      </c>
      <c r="M358">
        <v>131</v>
      </c>
      <c r="N358">
        <v>21</v>
      </c>
      <c r="O358">
        <v>9</v>
      </c>
      <c r="P358">
        <v>0</v>
      </c>
      <c r="Q358">
        <v>6</v>
      </c>
      <c r="R358">
        <v>2018</v>
      </c>
      <c r="S358">
        <v>7.5407608699999997</v>
      </c>
      <c r="T358">
        <v>11400</v>
      </c>
      <c r="U358">
        <v>23.99</v>
      </c>
      <c r="V358">
        <v>4.3</v>
      </c>
      <c r="W358">
        <v>16.27</v>
      </c>
      <c r="X358">
        <v>79.989999999999995</v>
      </c>
      <c r="Y358">
        <v>4.0999999999999996</v>
      </c>
      <c r="Z358">
        <v>13.36230769</v>
      </c>
      <c r="AA358">
        <v>58.99</v>
      </c>
      <c r="AB358">
        <v>3.9</v>
      </c>
      <c r="AC358">
        <v>16.43</v>
      </c>
      <c r="AD358">
        <v>352.25</v>
      </c>
      <c r="AE358">
        <f>Table1[[#This Row],[total_price]]/Table1[[#This Row],[qty]]</f>
        <v>364</v>
      </c>
      <c r="AF358">
        <f t="shared" si="5"/>
        <v>351.31</v>
      </c>
      <c r="AG358">
        <f>IF(ROW()=2, "", AVERAGE(D$2:D357))</f>
        <v>14.896067415730338</v>
      </c>
    </row>
    <row r="359" spans="1:33" x14ac:dyDescent="0.25">
      <c r="A359" t="s">
        <v>65</v>
      </c>
      <c r="B359" t="s">
        <v>38</v>
      </c>
      <c r="C359" s="1">
        <v>43107</v>
      </c>
      <c r="D359">
        <v>11</v>
      </c>
      <c r="E359">
        <v>4004</v>
      </c>
      <c r="F359">
        <v>36.246363639999998</v>
      </c>
      <c r="G359">
        <v>364</v>
      </c>
      <c r="H359">
        <v>51</v>
      </c>
      <c r="I359">
        <v>625</v>
      </c>
      <c r="J359">
        <v>1</v>
      </c>
      <c r="K359">
        <v>900</v>
      </c>
      <c r="L359">
        <v>4.3</v>
      </c>
      <c r="M359">
        <v>113</v>
      </c>
      <c r="N359">
        <v>22</v>
      </c>
      <c r="O359">
        <v>9</v>
      </c>
      <c r="P359">
        <v>1</v>
      </c>
      <c r="Q359">
        <v>7</v>
      </c>
      <c r="R359">
        <v>2018</v>
      </c>
      <c r="S359">
        <v>6.7595108699999997</v>
      </c>
      <c r="T359">
        <v>11400</v>
      </c>
      <c r="U359">
        <v>23.99</v>
      </c>
      <c r="V359">
        <v>4.3</v>
      </c>
      <c r="W359">
        <v>18.809999999999999</v>
      </c>
      <c r="X359">
        <v>79.989999999999995</v>
      </c>
      <c r="Y359">
        <v>4.0999999999999996</v>
      </c>
      <c r="Z359">
        <v>16.745000000000001</v>
      </c>
      <c r="AA359">
        <v>58.99</v>
      </c>
      <c r="AB359">
        <v>3.9</v>
      </c>
      <c r="AC359">
        <v>7.67</v>
      </c>
      <c r="AD359">
        <v>364</v>
      </c>
      <c r="AE359">
        <f>Table1[[#This Row],[total_price]]/Table1[[#This Row],[qty]]</f>
        <v>364</v>
      </c>
      <c r="AF359">
        <f t="shared" si="5"/>
        <v>364</v>
      </c>
      <c r="AG359">
        <f>IF(ROW()=2, "", AVERAGE(D$2:D358))</f>
        <v>14.88515406162465</v>
      </c>
    </row>
    <row r="360" spans="1:33" x14ac:dyDescent="0.25">
      <c r="A360" t="s">
        <v>65</v>
      </c>
      <c r="B360" t="s">
        <v>38</v>
      </c>
      <c r="C360" s="1">
        <v>43108</v>
      </c>
      <c r="D360">
        <v>9</v>
      </c>
      <c r="E360">
        <v>3276</v>
      </c>
      <c r="F360">
        <v>28.551111110000001</v>
      </c>
      <c r="G360">
        <v>364</v>
      </c>
      <c r="H360">
        <v>51</v>
      </c>
      <c r="I360">
        <v>625</v>
      </c>
      <c r="J360">
        <v>1</v>
      </c>
      <c r="K360">
        <v>900</v>
      </c>
      <c r="L360">
        <v>4.3</v>
      </c>
      <c r="M360">
        <v>127</v>
      </c>
      <c r="N360">
        <v>23</v>
      </c>
      <c r="O360">
        <v>8</v>
      </c>
      <c r="P360">
        <v>1</v>
      </c>
      <c r="Q360">
        <v>8</v>
      </c>
      <c r="R360">
        <v>2018</v>
      </c>
      <c r="S360">
        <v>10.36005435</v>
      </c>
      <c r="T360">
        <v>11400</v>
      </c>
      <c r="U360">
        <v>23.99</v>
      </c>
      <c r="V360">
        <v>4.3</v>
      </c>
      <c r="W360">
        <v>16.77</v>
      </c>
      <c r="X360">
        <v>82.821428569999995</v>
      </c>
      <c r="Y360">
        <v>4.0999999999999996</v>
      </c>
      <c r="Z360">
        <v>12.41857143</v>
      </c>
      <c r="AA360">
        <v>58.99</v>
      </c>
      <c r="AB360">
        <v>3.9</v>
      </c>
      <c r="AC360">
        <v>12.08333333</v>
      </c>
      <c r="AD360">
        <v>364</v>
      </c>
      <c r="AE360">
        <f>Table1[[#This Row],[total_price]]/Table1[[#This Row],[qty]]</f>
        <v>364</v>
      </c>
      <c r="AF360">
        <f t="shared" si="5"/>
        <v>364</v>
      </c>
      <c r="AG360">
        <f>IF(ROW()=2, "", AVERAGE(D$2:D359))</f>
        <v>14.874301675977653</v>
      </c>
    </row>
    <row r="361" spans="1:33" x14ac:dyDescent="0.25">
      <c r="A361" t="s">
        <v>66</v>
      </c>
      <c r="B361" t="s">
        <v>55</v>
      </c>
      <c r="C361" s="1">
        <v>42742</v>
      </c>
      <c r="D361">
        <v>2</v>
      </c>
      <c r="E361">
        <v>479.8</v>
      </c>
      <c r="F361">
        <v>14.805</v>
      </c>
      <c r="G361">
        <v>239.9</v>
      </c>
      <c r="H361">
        <v>35</v>
      </c>
      <c r="I361">
        <v>640</v>
      </c>
      <c r="J361">
        <v>1</v>
      </c>
      <c r="K361">
        <v>335</v>
      </c>
      <c r="L361">
        <v>4.0999999999999996</v>
      </c>
      <c r="M361">
        <v>29</v>
      </c>
      <c r="N361">
        <v>21</v>
      </c>
      <c r="O361">
        <v>10</v>
      </c>
      <c r="P361">
        <v>1</v>
      </c>
      <c r="Q361">
        <v>7</v>
      </c>
      <c r="R361">
        <v>2017</v>
      </c>
      <c r="S361">
        <v>31.194690269999999</v>
      </c>
      <c r="T361">
        <v>2992</v>
      </c>
      <c r="U361">
        <v>161.5909091</v>
      </c>
      <c r="V361">
        <v>4.2</v>
      </c>
      <c r="W361">
        <v>15.525454549999999</v>
      </c>
      <c r="X361">
        <v>239.9</v>
      </c>
      <c r="Y361">
        <v>4.0999999999999996</v>
      </c>
      <c r="Z361">
        <v>14.805</v>
      </c>
      <c r="AA361">
        <v>197.38300000000001</v>
      </c>
      <c r="AB361">
        <v>3.8</v>
      </c>
      <c r="AC361">
        <v>16.606000000000002</v>
      </c>
      <c r="AD361">
        <v>239.85</v>
      </c>
      <c r="AE361">
        <f>Table1[[#This Row],[total_price]]/Table1[[#This Row],[qty]]</f>
        <v>239.9</v>
      </c>
      <c r="AF361" t="str">
        <f t="shared" si="5"/>
        <v/>
      </c>
      <c r="AG361">
        <f>IF(ROW()=2, "", AVERAGE(D$2:D360))</f>
        <v>14.857938718662952</v>
      </c>
    </row>
    <row r="362" spans="1:33" x14ac:dyDescent="0.25">
      <c r="A362" t="s">
        <v>66</v>
      </c>
      <c r="B362" t="s">
        <v>55</v>
      </c>
      <c r="C362" s="1">
        <v>42745</v>
      </c>
      <c r="D362">
        <v>2</v>
      </c>
      <c r="E362">
        <v>479.8</v>
      </c>
      <c r="F362">
        <v>11.22</v>
      </c>
      <c r="G362">
        <v>239.9</v>
      </c>
      <c r="H362">
        <v>35</v>
      </c>
      <c r="I362">
        <v>640</v>
      </c>
      <c r="J362">
        <v>1</v>
      </c>
      <c r="K362">
        <v>335</v>
      </c>
      <c r="L362">
        <v>4.0999999999999996</v>
      </c>
      <c r="M362">
        <v>43</v>
      </c>
      <c r="N362">
        <v>22</v>
      </c>
      <c r="O362">
        <v>9</v>
      </c>
      <c r="P362">
        <v>2</v>
      </c>
      <c r="Q362">
        <v>10</v>
      </c>
      <c r="R362">
        <v>2017</v>
      </c>
      <c r="S362">
        <v>50</v>
      </c>
      <c r="T362">
        <v>2992</v>
      </c>
      <c r="U362">
        <v>134.9</v>
      </c>
      <c r="V362">
        <v>4.2</v>
      </c>
      <c r="W362">
        <v>6.81</v>
      </c>
      <c r="X362">
        <v>239.9</v>
      </c>
      <c r="Y362">
        <v>4.0999999999999996</v>
      </c>
      <c r="Z362">
        <v>11.22</v>
      </c>
      <c r="AA362">
        <v>232.49</v>
      </c>
      <c r="AB362">
        <v>3.8</v>
      </c>
      <c r="AC362">
        <v>14.2125</v>
      </c>
      <c r="AD362">
        <v>239.85</v>
      </c>
      <c r="AE362">
        <f>Table1[[#This Row],[total_price]]/Table1[[#This Row],[qty]]</f>
        <v>239.9</v>
      </c>
      <c r="AF362">
        <f t="shared" si="5"/>
        <v>239.9</v>
      </c>
      <c r="AG362">
        <f>IF(ROW()=2, "", AVERAGE(D$2:D361))</f>
        <v>14.822222222222223</v>
      </c>
    </row>
    <row r="363" spans="1:33" x14ac:dyDescent="0.25">
      <c r="A363" t="s">
        <v>66</v>
      </c>
      <c r="B363" t="s">
        <v>55</v>
      </c>
      <c r="C363" s="1">
        <v>43101</v>
      </c>
      <c r="D363">
        <v>2</v>
      </c>
      <c r="E363">
        <v>459.8</v>
      </c>
      <c r="F363">
        <v>16.36</v>
      </c>
      <c r="G363">
        <v>229.9</v>
      </c>
      <c r="H363">
        <v>35</v>
      </c>
      <c r="I363">
        <v>640</v>
      </c>
      <c r="J363">
        <v>1</v>
      </c>
      <c r="K363">
        <v>335</v>
      </c>
      <c r="L363">
        <v>4.0999999999999996</v>
      </c>
      <c r="M363">
        <v>59</v>
      </c>
      <c r="N363">
        <v>23</v>
      </c>
      <c r="O363">
        <v>8</v>
      </c>
      <c r="P363">
        <v>2</v>
      </c>
      <c r="Q363">
        <v>1</v>
      </c>
      <c r="R363">
        <v>2018</v>
      </c>
      <c r="S363">
        <v>1.769911504</v>
      </c>
      <c r="T363">
        <v>2992</v>
      </c>
      <c r="U363">
        <v>229.9</v>
      </c>
      <c r="V363">
        <v>4.0999999999999996</v>
      </c>
      <c r="W363">
        <v>16.36</v>
      </c>
      <c r="X363">
        <v>108</v>
      </c>
      <c r="Y363">
        <v>4.2</v>
      </c>
      <c r="Z363">
        <v>16.196363640000001</v>
      </c>
      <c r="AA363">
        <v>199</v>
      </c>
      <c r="AB363">
        <v>3.8</v>
      </c>
      <c r="AC363">
        <v>21.88</v>
      </c>
      <c r="AD363">
        <v>229.85</v>
      </c>
      <c r="AE363">
        <f>Table1[[#This Row],[total_price]]/Table1[[#This Row],[qty]]</f>
        <v>229.9</v>
      </c>
      <c r="AF363">
        <f t="shared" si="5"/>
        <v>239.9</v>
      </c>
      <c r="AG363">
        <f>IF(ROW()=2, "", AVERAGE(D$2:D362))</f>
        <v>14.786703601108034</v>
      </c>
    </row>
    <row r="364" spans="1:33" x14ac:dyDescent="0.25">
      <c r="A364" t="s">
        <v>66</v>
      </c>
      <c r="B364" t="s">
        <v>55</v>
      </c>
      <c r="C364" s="1">
        <v>43102</v>
      </c>
      <c r="D364">
        <v>11</v>
      </c>
      <c r="E364">
        <v>2250.8000000000002</v>
      </c>
      <c r="F364">
        <v>17.025454549999999</v>
      </c>
      <c r="G364">
        <v>204.6181818</v>
      </c>
      <c r="H364">
        <v>35</v>
      </c>
      <c r="I364">
        <v>640</v>
      </c>
      <c r="J364">
        <v>1</v>
      </c>
      <c r="K364">
        <v>335</v>
      </c>
      <c r="L364">
        <v>4.0999999999999996</v>
      </c>
      <c r="M364">
        <v>90</v>
      </c>
      <c r="N364">
        <v>20</v>
      </c>
      <c r="O364">
        <v>8</v>
      </c>
      <c r="P364">
        <v>2</v>
      </c>
      <c r="Q364">
        <v>2</v>
      </c>
      <c r="R364">
        <v>2018</v>
      </c>
      <c r="S364">
        <v>9.7345132739999993</v>
      </c>
      <c r="T364">
        <v>2992</v>
      </c>
      <c r="U364">
        <v>128.2416667</v>
      </c>
      <c r="V364">
        <v>4.2</v>
      </c>
      <c r="W364">
        <v>15.926666669999999</v>
      </c>
      <c r="X364">
        <v>108</v>
      </c>
      <c r="Y364">
        <v>4.2</v>
      </c>
      <c r="Z364">
        <v>18.253636360000002</v>
      </c>
      <c r="AA364">
        <v>182</v>
      </c>
      <c r="AB364">
        <v>3.8</v>
      </c>
      <c r="AC364">
        <v>19.329999999999998</v>
      </c>
      <c r="AD364">
        <v>229.9</v>
      </c>
      <c r="AE364">
        <f>Table1[[#This Row],[total_price]]/Table1[[#This Row],[qty]]</f>
        <v>204.61818181818182</v>
      </c>
      <c r="AF364">
        <f t="shared" si="5"/>
        <v>229.9</v>
      </c>
      <c r="AG364">
        <f>IF(ROW()=2, "", AVERAGE(D$2:D363))</f>
        <v>14.751381215469614</v>
      </c>
    </row>
    <row r="365" spans="1:33" x14ac:dyDescent="0.25">
      <c r="A365" t="s">
        <v>66</v>
      </c>
      <c r="B365" t="s">
        <v>55</v>
      </c>
      <c r="C365" s="1">
        <v>43103</v>
      </c>
      <c r="D365">
        <v>16</v>
      </c>
      <c r="E365">
        <v>2680</v>
      </c>
      <c r="F365">
        <v>17.154375000000002</v>
      </c>
      <c r="G365">
        <v>167.5</v>
      </c>
      <c r="H365">
        <v>35</v>
      </c>
      <c r="I365">
        <v>640</v>
      </c>
      <c r="J365">
        <v>1</v>
      </c>
      <c r="K365">
        <v>335</v>
      </c>
      <c r="L365">
        <v>4.0999999999999996</v>
      </c>
      <c r="M365">
        <v>125</v>
      </c>
      <c r="N365">
        <v>22</v>
      </c>
      <c r="O365">
        <v>9</v>
      </c>
      <c r="P365">
        <v>1</v>
      </c>
      <c r="Q365">
        <v>3</v>
      </c>
      <c r="R365">
        <v>2018</v>
      </c>
      <c r="S365">
        <v>14.15929204</v>
      </c>
      <c r="T365">
        <v>2992</v>
      </c>
      <c r="U365">
        <v>117.44129030000001</v>
      </c>
      <c r="V365">
        <v>4.2</v>
      </c>
      <c r="W365">
        <v>18.261290320000001</v>
      </c>
      <c r="X365">
        <v>105.6428571</v>
      </c>
      <c r="Y365">
        <v>4.2</v>
      </c>
      <c r="Z365">
        <v>21.6652381</v>
      </c>
      <c r="AA365">
        <v>151.87843749999999</v>
      </c>
      <c r="AB365">
        <v>3.8</v>
      </c>
      <c r="AC365">
        <v>20.313749999999999</v>
      </c>
      <c r="AD365">
        <v>204.6181818</v>
      </c>
      <c r="AE365">
        <f>Table1[[#This Row],[total_price]]/Table1[[#This Row],[qty]]</f>
        <v>167.5</v>
      </c>
      <c r="AF365">
        <f t="shared" si="5"/>
        <v>204.61818181818182</v>
      </c>
      <c r="AG365">
        <f>IF(ROW()=2, "", AVERAGE(D$2:D364))</f>
        <v>14.741046831955924</v>
      </c>
    </row>
    <row r="366" spans="1:33" x14ac:dyDescent="0.25">
      <c r="A366" t="s">
        <v>66</v>
      </c>
      <c r="B366" t="s">
        <v>55</v>
      </c>
      <c r="C366" s="1">
        <v>43104</v>
      </c>
      <c r="D366">
        <v>26</v>
      </c>
      <c r="E366">
        <v>3908.9</v>
      </c>
      <c r="F366">
        <v>17.501923080000001</v>
      </c>
      <c r="G366">
        <v>150.34230769999999</v>
      </c>
      <c r="H366">
        <v>35</v>
      </c>
      <c r="I366">
        <v>640</v>
      </c>
      <c r="J366">
        <v>1</v>
      </c>
      <c r="K366">
        <v>335</v>
      </c>
      <c r="L366">
        <v>4.0999999999999996</v>
      </c>
      <c r="M366">
        <v>178</v>
      </c>
      <c r="N366">
        <v>21</v>
      </c>
      <c r="O366">
        <v>9</v>
      </c>
      <c r="P366">
        <v>1</v>
      </c>
      <c r="Q366">
        <v>4</v>
      </c>
      <c r="R366">
        <v>2018</v>
      </c>
      <c r="S366">
        <v>23.008849560000002</v>
      </c>
      <c r="T366">
        <v>2992</v>
      </c>
      <c r="U366">
        <v>105.648625</v>
      </c>
      <c r="V366">
        <v>4.2</v>
      </c>
      <c r="W366">
        <v>2.1816470589999999</v>
      </c>
      <c r="X366">
        <v>105</v>
      </c>
      <c r="Y366">
        <v>4.2</v>
      </c>
      <c r="Z366">
        <v>13.631428570000001</v>
      </c>
      <c r="AA366">
        <v>150.1333333</v>
      </c>
      <c r="AB366">
        <v>3.8</v>
      </c>
      <c r="AC366">
        <v>19.447777779999999</v>
      </c>
      <c r="AD366">
        <v>167.5</v>
      </c>
      <c r="AE366">
        <f>Table1[[#This Row],[total_price]]/Table1[[#This Row],[qty]]</f>
        <v>150.34230769230768</v>
      </c>
      <c r="AF366">
        <f t="shared" si="5"/>
        <v>167.5</v>
      </c>
      <c r="AG366">
        <f>IF(ROW()=2, "", AVERAGE(D$2:D365))</f>
        <v>14.744505494505495</v>
      </c>
    </row>
    <row r="367" spans="1:33" x14ac:dyDescent="0.25">
      <c r="A367" t="s">
        <v>66</v>
      </c>
      <c r="B367" t="s">
        <v>55</v>
      </c>
      <c r="C367" s="1">
        <v>43105</v>
      </c>
      <c r="D367">
        <v>30</v>
      </c>
      <c r="E367">
        <v>4355</v>
      </c>
      <c r="F367">
        <v>16.259</v>
      </c>
      <c r="G367">
        <v>145.16666670000001</v>
      </c>
      <c r="H367">
        <v>35</v>
      </c>
      <c r="I367">
        <v>640</v>
      </c>
      <c r="J367">
        <v>1</v>
      </c>
      <c r="K367">
        <v>335</v>
      </c>
      <c r="L367">
        <v>4.0999999999999996</v>
      </c>
      <c r="M367">
        <v>260</v>
      </c>
      <c r="N367">
        <v>23</v>
      </c>
      <c r="O367">
        <v>8</v>
      </c>
      <c r="P367">
        <v>3</v>
      </c>
      <c r="Q367">
        <v>5</v>
      </c>
      <c r="R367">
        <v>2018</v>
      </c>
      <c r="S367">
        <v>26.548672570000001</v>
      </c>
      <c r="T367">
        <v>2992</v>
      </c>
      <c r="U367">
        <v>103.79252339999999</v>
      </c>
      <c r="V367">
        <v>4.2</v>
      </c>
      <c r="W367">
        <v>9.5438596000000001E-2</v>
      </c>
      <c r="X367">
        <v>105</v>
      </c>
      <c r="Y367">
        <v>4.2</v>
      </c>
      <c r="Z367">
        <v>11.3772973</v>
      </c>
      <c r="AA367">
        <v>132.53125</v>
      </c>
      <c r="AB367">
        <v>3.8</v>
      </c>
      <c r="AC367">
        <v>15.7621875</v>
      </c>
      <c r="AD367">
        <v>150.34230769999999</v>
      </c>
      <c r="AE367">
        <f>Table1[[#This Row],[total_price]]/Table1[[#This Row],[qty]]</f>
        <v>145.16666666666666</v>
      </c>
      <c r="AF367">
        <f t="shared" si="5"/>
        <v>150.34230769230768</v>
      </c>
      <c r="AG367">
        <f>IF(ROW()=2, "", AVERAGE(D$2:D366))</f>
        <v>14.775342465753425</v>
      </c>
    </row>
    <row r="368" spans="1:33" x14ac:dyDescent="0.25">
      <c r="A368" t="s">
        <v>66</v>
      </c>
      <c r="B368" t="s">
        <v>55</v>
      </c>
      <c r="C368" s="1">
        <v>43106</v>
      </c>
      <c r="D368">
        <v>3</v>
      </c>
      <c r="E368">
        <v>457.9</v>
      </c>
      <c r="F368">
        <v>19.170000000000002</v>
      </c>
      <c r="G368">
        <v>152.6333333</v>
      </c>
      <c r="H368">
        <v>35</v>
      </c>
      <c r="I368">
        <v>640</v>
      </c>
      <c r="J368">
        <v>1</v>
      </c>
      <c r="K368">
        <v>335</v>
      </c>
      <c r="L368">
        <v>4.0999999999999996</v>
      </c>
      <c r="M368">
        <v>93</v>
      </c>
      <c r="N368">
        <v>21</v>
      </c>
      <c r="O368">
        <v>9</v>
      </c>
      <c r="P368">
        <v>0</v>
      </c>
      <c r="Q368">
        <v>6</v>
      </c>
      <c r="R368">
        <v>2018</v>
      </c>
      <c r="S368">
        <v>2.6548672569999998</v>
      </c>
      <c r="T368">
        <v>2992</v>
      </c>
      <c r="U368">
        <v>119</v>
      </c>
      <c r="V368">
        <v>4.2</v>
      </c>
      <c r="W368">
        <v>19.206666670000001</v>
      </c>
      <c r="X368">
        <v>105</v>
      </c>
      <c r="Y368">
        <v>4.2</v>
      </c>
      <c r="Z368">
        <v>23.823571430000001</v>
      </c>
      <c r="AA368">
        <v>138.22</v>
      </c>
      <c r="AB368">
        <v>3.8</v>
      </c>
      <c r="AC368">
        <v>16.108000000000001</v>
      </c>
      <c r="AD368">
        <v>145.16666670000001</v>
      </c>
      <c r="AE368">
        <f>Table1[[#This Row],[total_price]]/Table1[[#This Row],[qty]]</f>
        <v>152.63333333333333</v>
      </c>
      <c r="AF368">
        <f t="shared" si="5"/>
        <v>145.16666666666666</v>
      </c>
      <c r="AG368">
        <f>IF(ROW()=2, "", AVERAGE(D$2:D367))</f>
        <v>14.816939890710383</v>
      </c>
    </row>
    <row r="369" spans="1:33" x14ac:dyDescent="0.25">
      <c r="A369" t="s">
        <v>66</v>
      </c>
      <c r="B369" t="s">
        <v>55</v>
      </c>
      <c r="C369" s="1">
        <v>43107</v>
      </c>
      <c r="D369">
        <v>14</v>
      </c>
      <c r="E369">
        <v>2200</v>
      </c>
      <c r="F369">
        <v>16.65714286</v>
      </c>
      <c r="G369">
        <v>157.14285709999999</v>
      </c>
      <c r="H369">
        <v>35</v>
      </c>
      <c r="I369">
        <v>640</v>
      </c>
      <c r="J369">
        <v>1</v>
      </c>
      <c r="K369">
        <v>335</v>
      </c>
      <c r="L369">
        <v>4.0999999999999996</v>
      </c>
      <c r="M369">
        <v>122</v>
      </c>
      <c r="N369">
        <v>22</v>
      </c>
      <c r="O369">
        <v>9</v>
      </c>
      <c r="P369">
        <v>1</v>
      </c>
      <c r="Q369">
        <v>7</v>
      </c>
      <c r="R369">
        <v>2018</v>
      </c>
      <c r="S369">
        <v>31.194690269999999</v>
      </c>
      <c r="T369">
        <v>2992</v>
      </c>
      <c r="U369">
        <v>118.3636364</v>
      </c>
      <c r="V369">
        <v>4.2</v>
      </c>
      <c r="W369">
        <v>15.48</v>
      </c>
      <c r="X369">
        <v>105</v>
      </c>
      <c r="Y369">
        <v>4.2</v>
      </c>
      <c r="Z369">
        <v>24.938749999999999</v>
      </c>
      <c r="AA369">
        <v>155</v>
      </c>
      <c r="AB369">
        <v>3.8</v>
      </c>
      <c r="AC369">
        <v>16.47</v>
      </c>
      <c r="AD369">
        <v>152.6333333</v>
      </c>
      <c r="AE369">
        <f>Table1[[#This Row],[total_price]]/Table1[[#This Row],[qty]]</f>
        <v>157.14285714285714</v>
      </c>
      <c r="AF369">
        <f t="shared" si="5"/>
        <v>152.63333333333333</v>
      </c>
      <c r="AG369">
        <f>IF(ROW()=2, "", AVERAGE(D$2:D368))</f>
        <v>14.784741144414168</v>
      </c>
    </row>
    <row r="370" spans="1:33" x14ac:dyDescent="0.25">
      <c r="A370" t="s">
        <v>66</v>
      </c>
      <c r="B370" t="s">
        <v>55</v>
      </c>
      <c r="C370" s="1">
        <v>43108</v>
      </c>
      <c r="D370">
        <v>11</v>
      </c>
      <c r="E370">
        <v>1737.4</v>
      </c>
      <c r="F370">
        <v>14.592727269999999</v>
      </c>
      <c r="G370">
        <v>157.94545450000001</v>
      </c>
      <c r="H370">
        <v>35</v>
      </c>
      <c r="I370">
        <v>640</v>
      </c>
      <c r="J370">
        <v>1</v>
      </c>
      <c r="K370">
        <v>335</v>
      </c>
      <c r="L370">
        <v>4.0999999999999996</v>
      </c>
      <c r="M370">
        <v>61</v>
      </c>
      <c r="N370">
        <v>23</v>
      </c>
      <c r="O370">
        <v>8</v>
      </c>
      <c r="P370">
        <v>1</v>
      </c>
      <c r="Q370">
        <v>8</v>
      </c>
      <c r="R370">
        <v>2018</v>
      </c>
      <c r="S370">
        <v>9.7345132739999993</v>
      </c>
      <c r="T370">
        <v>2992</v>
      </c>
      <c r="U370">
        <v>112</v>
      </c>
      <c r="V370">
        <v>4.2</v>
      </c>
      <c r="W370">
        <v>13.44</v>
      </c>
      <c r="X370">
        <v>105</v>
      </c>
      <c r="Y370">
        <v>4.2</v>
      </c>
      <c r="Z370">
        <v>23.385714289999999</v>
      </c>
      <c r="AA370">
        <v>145.55090910000001</v>
      </c>
      <c r="AB370">
        <v>3.8</v>
      </c>
      <c r="AC370">
        <v>21.897272730000001</v>
      </c>
      <c r="AD370">
        <v>157.14285709999999</v>
      </c>
      <c r="AE370">
        <f>Table1[[#This Row],[total_price]]/Table1[[#This Row],[qty]]</f>
        <v>157.94545454545457</v>
      </c>
      <c r="AF370">
        <f t="shared" si="5"/>
        <v>157.14285714285714</v>
      </c>
      <c r="AG370">
        <f>IF(ROW()=2, "", AVERAGE(D$2:D369))</f>
        <v>14.782608695652174</v>
      </c>
    </row>
    <row r="371" spans="1:33" x14ac:dyDescent="0.25">
      <c r="A371" t="s">
        <v>67</v>
      </c>
      <c r="B371" t="s">
        <v>68</v>
      </c>
      <c r="C371" s="1">
        <v>42746</v>
      </c>
      <c r="D371">
        <v>1</v>
      </c>
      <c r="E371">
        <v>99.9</v>
      </c>
      <c r="F371">
        <v>21.19</v>
      </c>
      <c r="G371">
        <v>99.9</v>
      </c>
      <c r="H371">
        <v>57</v>
      </c>
      <c r="I371">
        <v>272</v>
      </c>
      <c r="J371">
        <v>1</v>
      </c>
      <c r="K371">
        <v>2500</v>
      </c>
      <c r="L371">
        <v>4.4000000000000004</v>
      </c>
      <c r="M371">
        <v>64</v>
      </c>
      <c r="N371">
        <v>22</v>
      </c>
      <c r="O371">
        <v>8</v>
      </c>
      <c r="P371">
        <v>4</v>
      </c>
      <c r="Q371">
        <v>11</v>
      </c>
      <c r="R371">
        <v>2017</v>
      </c>
      <c r="S371">
        <v>25</v>
      </c>
      <c r="T371">
        <v>12000</v>
      </c>
      <c r="U371">
        <v>75</v>
      </c>
      <c r="V371">
        <v>4.0999999999999996</v>
      </c>
      <c r="W371">
        <v>16.13272727</v>
      </c>
      <c r="X371">
        <v>36.854285709999999</v>
      </c>
      <c r="Y371">
        <v>3.7</v>
      </c>
      <c r="Z371">
        <v>13.65214286</v>
      </c>
      <c r="AA371">
        <v>99.9</v>
      </c>
      <c r="AB371">
        <v>4.4000000000000004</v>
      </c>
      <c r="AC371">
        <v>21.19</v>
      </c>
      <c r="AD371">
        <v>99.85</v>
      </c>
      <c r="AE371">
        <f>Table1[[#This Row],[total_price]]/Table1[[#This Row],[qty]]</f>
        <v>99.9</v>
      </c>
      <c r="AF371" t="str">
        <f t="shared" si="5"/>
        <v/>
      </c>
      <c r="AG371">
        <f>IF(ROW()=2, "", AVERAGE(D$2:D370))</f>
        <v>14.772357723577235</v>
      </c>
    </row>
    <row r="372" spans="1:33" x14ac:dyDescent="0.25">
      <c r="A372" t="s">
        <v>67</v>
      </c>
      <c r="B372" t="s">
        <v>68</v>
      </c>
      <c r="C372" s="1">
        <v>42747</v>
      </c>
      <c r="D372">
        <v>3</v>
      </c>
      <c r="E372">
        <v>299.7</v>
      </c>
      <c r="F372">
        <v>20.646666669999998</v>
      </c>
      <c r="G372">
        <v>99.9</v>
      </c>
      <c r="H372">
        <v>57</v>
      </c>
      <c r="I372">
        <v>272</v>
      </c>
      <c r="J372">
        <v>1</v>
      </c>
      <c r="K372">
        <v>2500</v>
      </c>
      <c r="L372">
        <v>4.4000000000000004</v>
      </c>
      <c r="M372">
        <v>40</v>
      </c>
      <c r="N372">
        <v>21</v>
      </c>
      <c r="O372">
        <v>10</v>
      </c>
      <c r="P372">
        <v>1</v>
      </c>
      <c r="Q372">
        <v>12</v>
      </c>
      <c r="R372">
        <v>2017</v>
      </c>
      <c r="S372">
        <v>75</v>
      </c>
      <c r="T372">
        <v>12000</v>
      </c>
      <c r="U372">
        <v>75</v>
      </c>
      <c r="V372">
        <v>4.0999999999999996</v>
      </c>
      <c r="W372">
        <v>17.446382979999999</v>
      </c>
      <c r="X372">
        <v>99.9</v>
      </c>
      <c r="Y372">
        <v>4.4000000000000004</v>
      </c>
      <c r="Z372">
        <v>20.646666669999998</v>
      </c>
      <c r="AA372">
        <v>99.9</v>
      </c>
      <c r="AB372">
        <v>4.4000000000000004</v>
      </c>
      <c r="AC372">
        <v>20.646666669999998</v>
      </c>
      <c r="AD372">
        <v>99.9</v>
      </c>
      <c r="AE372">
        <f>Table1[[#This Row],[total_price]]/Table1[[#This Row],[qty]]</f>
        <v>99.899999999999991</v>
      </c>
      <c r="AF372">
        <f t="shared" si="5"/>
        <v>99.9</v>
      </c>
      <c r="AG372">
        <f>IF(ROW()=2, "", AVERAGE(D$2:D371))</f>
        <v>14.735135135135135</v>
      </c>
    </row>
    <row r="373" spans="1:33" x14ac:dyDescent="0.25">
      <c r="A373" t="s">
        <v>67</v>
      </c>
      <c r="B373" t="s">
        <v>68</v>
      </c>
      <c r="C373" s="1">
        <v>43101</v>
      </c>
      <c r="D373">
        <v>13</v>
      </c>
      <c r="E373">
        <v>1298.7</v>
      </c>
      <c r="F373">
        <v>22.819230770000001</v>
      </c>
      <c r="G373">
        <v>99.9</v>
      </c>
      <c r="H373">
        <v>57</v>
      </c>
      <c r="I373">
        <v>272</v>
      </c>
      <c r="J373">
        <v>1</v>
      </c>
      <c r="K373">
        <v>2500</v>
      </c>
      <c r="L373">
        <v>4.4000000000000004</v>
      </c>
      <c r="M373">
        <v>125</v>
      </c>
      <c r="N373">
        <v>23</v>
      </c>
      <c r="O373">
        <v>8</v>
      </c>
      <c r="P373">
        <v>2</v>
      </c>
      <c r="Q373">
        <v>1</v>
      </c>
      <c r="R373">
        <v>2018</v>
      </c>
      <c r="S373">
        <v>13.40206186</v>
      </c>
      <c r="T373">
        <v>12000</v>
      </c>
      <c r="U373">
        <v>69.995327099999997</v>
      </c>
      <c r="V373">
        <v>4.0999999999999996</v>
      </c>
      <c r="W373">
        <v>17.663114749999998</v>
      </c>
      <c r="X373">
        <v>38.4</v>
      </c>
      <c r="Y373">
        <v>3.7</v>
      </c>
      <c r="Z373">
        <v>9.34</v>
      </c>
      <c r="AA373">
        <v>99.9</v>
      </c>
      <c r="AB373">
        <v>4.4000000000000004</v>
      </c>
      <c r="AC373">
        <v>22.819230770000001</v>
      </c>
      <c r="AD373">
        <v>99.9</v>
      </c>
      <c r="AE373">
        <f>Table1[[#This Row],[total_price]]/Table1[[#This Row],[qty]]</f>
        <v>99.9</v>
      </c>
      <c r="AF373">
        <f t="shared" si="5"/>
        <v>99.899999999999991</v>
      </c>
      <c r="AG373">
        <f>IF(ROW()=2, "", AVERAGE(D$2:D372))</f>
        <v>14.703504043126685</v>
      </c>
    </row>
    <row r="374" spans="1:33" x14ac:dyDescent="0.25">
      <c r="A374" t="s">
        <v>67</v>
      </c>
      <c r="B374" t="s">
        <v>68</v>
      </c>
      <c r="C374" s="1">
        <v>43102</v>
      </c>
      <c r="D374">
        <v>13</v>
      </c>
      <c r="E374">
        <v>1298.7</v>
      </c>
      <c r="F374">
        <v>28.89076923</v>
      </c>
      <c r="G374">
        <v>99.9</v>
      </c>
      <c r="H374">
        <v>57</v>
      </c>
      <c r="I374">
        <v>272</v>
      </c>
      <c r="J374">
        <v>1</v>
      </c>
      <c r="K374">
        <v>2500</v>
      </c>
      <c r="L374">
        <v>4.4000000000000004</v>
      </c>
      <c r="M374">
        <v>52</v>
      </c>
      <c r="N374">
        <v>20</v>
      </c>
      <c r="O374">
        <v>8</v>
      </c>
      <c r="P374">
        <v>2</v>
      </c>
      <c r="Q374">
        <v>2</v>
      </c>
      <c r="R374">
        <v>2018</v>
      </c>
      <c r="S374">
        <v>13.40206186</v>
      </c>
      <c r="T374">
        <v>12000</v>
      </c>
      <c r="U374">
        <v>69.900000000000006</v>
      </c>
      <c r="V374">
        <v>4.0999999999999996</v>
      </c>
      <c r="W374">
        <v>16.115909089999999</v>
      </c>
      <c r="X374">
        <v>38.4</v>
      </c>
      <c r="Y374">
        <v>3.7</v>
      </c>
      <c r="Z374">
        <v>18.685555560000001</v>
      </c>
      <c r="AA374">
        <v>99.9</v>
      </c>
      <c r="AB374">
        <v>4.4000000000000004</v>
      </c>
      <c r="AC374">
        <v>28.89076923</v>
      </c>
      <c r="AD374">
        <v>99.9</v>
      </c>
      <c r="AE374">
        <f>Table1[[#This Row],[total_price]]/Table1[[#This Row],[qty]]</f>
        <v>99.9</v>
      </c>
      <c r="AF374">
        <f t="shared" si="5"/>
        <v>99.9</v>
      </c>
      <c r="AG374">
        <f>IF(ROW()=2, "", AVERAGE(D$2:D373))</f>
        <v>14.698924731182796</v>
      </c>
    </row>
    <row r="375" spans="1:33" x14ac:dyDescent="0.25">
      <c r="A375" t="s">
        <v>67</v>
      </c>
      <c r="B375" t="s">
        <v>68</v>
      </c>
      <c r="C375" s="1">
        <v>43103</v>
      </c>
      <c r="D375">
        <v>12</v>
      </c>
      <c r="E375">
        <v>1198.8</v>
      </c>
      <c r="F375">
        <v>22.145833329999999</v>
      </c>
      <c r="G375">
        <v>99.9</v>
      </c>
      <c r="H375">
        <v>57</v>
      </c>
      <c r="I375">
        <v>272</v>
      </c>
      <c r="J375">
        <v>1</v>
      </c>
      <c r="K375">
        <v>2500</v>
      </c>
      <c r="L375">
        <v>4.4000000000000004</v>
      </c>
      <c r="M375">
        <v>83</v>
      </c>
      <c r="N375">
        <v>22</v>
      </c>
      <c r="O375">
        <v>9</v>
      </c>
      <c r="P375">
        <v>1</v>
      </c>
      <c r="Q375">
        <v>3</v>
      </c>
      <c r="R375">
        <v>2018</v>
      </c>
      <c r="S375">
        <v>12.37113402</v>
      </c>
      <c r="T375">
        <v>12000</v>
      </c>
      <c r="U375">
        <v>69.900000000000006</v>
      </c>
      <c r="V375">
        <v>4.0999999999999996</v>
      </c>
      <c r="W375">
        <v>18.425076919999999</v>
      </c>
      <c r="X375">
        <v>35.485714289999997</v>
      </c>
      <c r="Y375">
        <v>3.7</v>
      </c>
      <c r="Z375">
        <v>15.44823529</v>
      </c>
      <c r="AA375">
        <v>99.9</v>
      </c>
      <c r="AB375">
        <v>4.4000000000000004</v>
      </c>
      <c r="AC375">
        <v>22.145833329999999</v>
      </c>
      <c r="AD375">
        <v>99.9</v>
      </c>
      <c r="AE375">
        <f>Table1[[#This Row],[total_price]]/Table1[[#This Row],[qty]]</f>
        <v>99.899999999999991</v>
      </c>
      <c r="AF375">
        <f t="shared" si="5"/>
        <v>99.9</v>
      </c>
      <c r="AG375">
        <f>IF(ROW()=2, "", AVERAGE(D$2:D374))</f>
        <v>14.694369973190348</v>
      </c>
    </row>
    <row r="376" spans="1:33" x14ac:dyDescent="0.25">
      <c r="A376" t="s">
        <v>67</v>
      </c>
      <c r="B376" t="s">
        <v>68</v>
      </c>
      <c r="C376" s="1">
        <v>43104</v>
      </c>
      <c r="D376">
        <v>13</v>
      </c>
      <c r="E376">
        <v>1298.7</v>
      </c>
      <c r="F376">
        <v>23.32769231</v>
      </c>
      <c r="G376">
        <v>99.9</v>
      </c>
      <c r="H376">
        <v>57</v>
      </c>
      <c r="I376">
        <v>272</v>
      </c>
      <c r="J376">
        <v>1</v>
      </c>
      <c r="K376">
        <v>2500</v>
      </c>
      <c r="L376">
        <v>4.4000000000000004</v>
      </c>
      <c r="M376">
        <v>92</v>
      </c>
      <c r="N376">
        <v>21</v>
      </c>
      <c r="O376">
        <v>9</v>
      </c>
      <c r="P376">
        <v>1</v>
      </c>
      <c r="Q376">
        <v>4</v>
      </c>
      <c r="R376">
        <v>2018</v>
      </c>
      <c r="S376">
        <v>13.40206186</v>
      </c>
      <c r="T376">
        <v>12000</v>
      </c>
      <c r="U376">
        <v>69.900000000000006</v>
      </c>
      <c r="V376">
        <v>4.0999999999999996</v>
      </c>
      <c r="W376">
        <v>9.0715662649999995</v>
      </c>
      <c r="X376">
        <v>35</v>
      </c>
      <c r="Y376">
        <v>3.7</v>
      </c>
      <c r="Z376">
        <v>13.46941176</v>
      </c>
      <c r="AA376">
        <v>99.9</v>
      </c>
      <c r="AB376">
        <v>4.4000000000000004</v>
      </c>
      <c r="AC376">
        <v>23.32769231</v>
      </c>
      <c r="AD376">
        <v>99.9</v>
      </c>
      <c r="AE376">
        <f>Table1[[#This Row],[total_price]]/Table1[[#This Row],[qty]]</f>
        <v>99.9</v>
      </c>
      <c r="AF376">
        <f t="shared" si="5"/>
        <v>99.899999999999991</v>
      </c>
      <c r="AG376">
        <f>IF(ROW()=2, "", AVERAGE(D$2:D375))</f>
        <v>14.68716577540107</v>
      </c>
    </row>
    <row r="377" spans="1:33" x14ac:dyDescent="0.25">
      <c r="A377" t="s">
        <v>67</v>
      </c>
      <c r="B377" t="s">
        <v>68</v>
      </c>
      <c r="C377" s="1">
        <v>43105</v>
      </c>
      <c r="D377">
        <v>13</v>
      </c>
      <c r="E377">
        <v>1298.7</v>
      </c>
      <c r="F377">
        <v>19.41076923</v>
      </c>
      <c r="G377">
        <v>99.9</v>
      </c>
      <c r="H377">
        <v>57</v>
      </c>
      <c r="I377">
        <v>272</v>
      </c>
      <c r="J377">
        <v>1</v>
      </c>
      <c r="K377">
        <v>2500</v>
      </c>
      <c r="L377">
        <v>4.4000000000000004</v>
      </c>
      <c r="M377">
        <v>95</v>
      </c>
      <c r="N377">
        <v>23</v>
      </c>
      <c r="O377">
        <v>8</v>
      </c>
      <c r="P377">
        <v>3</v>
      </c>
      <c r="Q377">
        <v>5</v>
      </c>
      <c r="R377">
        <v>2018</v>
      </c>
      <c r="S377">
        <v>13.40206186</v>
      </c>
      <c r="T377">
        <v>12000</v>
      </c>
      <c r="U377">
        <v>69.900000000000006</v>
      </c>
      <c r="V377">
        <v>4.0999999999999996</v>
      </c>
      <c r="W377">
        <v>3.8016304349999999</v>
      </c>
      <c r="X377">
        <v>35</v>
      </c>
      <c r="Y377">
        <v>3.7</v>
      </c>
      <c r="Z377">
        <v>14.634545449999999</v>
      </c>
      <c r="AA377">
        <v>99.9</v>
      </c>
      <c r="AB377">
        <v>4.4000000000000004</v>
      </c>
      <c r="AC377">
        <v>19.41076923</v>
      </c>
      <c r="AD377">
        <v>99.9</v>
      </c>
      <c r="AE377">
        <f>Table1[[#This Row],[total_price]]/Table1[[#This Row],[qty]]</f>
        <v>99.9</v>
      </c>
      <c r="AF377">
        <f t="shared" si="5"/>
        <v>99.9</v>
      </c>
      <c r="AG377">
        <f>IF(ROW()=2, "", AVERAGE(D$2:D376))</f>
        <v>14.682666666666666</v>
      </c>
    </row>
    <row r="378" spans="1:33" x14ac:dyDescent="0.25">
      <c r="A378" t="s">
        <v>67</v>
      </c>
      <c r="B378" t="s">
        <v>68</v>
      </c>
      <c r="C378" s="1">
        <v>43106</v>
      </c>
      <c r="D378">
        <v>10</v>
      </c>
      <c r="E378">
        <v>999</v>
      </c>
      <c r="F378">
        <v>25.635999999999999</v>
      </c>
      <c r="G378">
        <v>99.9</v>
      </c>
      <c r="H378">
        <v>57</v>
      </c>
      <c r="I378">
        <v>272</v>
      </c>
      <c r="J378">
        <v>1</v>
      </c>
      <c r="K378">
        <v>2500</v>
      </c>
      <c r="L378">
        <v>4.4000000000000004</v>
      </c>
      <c r="M378">
        <v>18</v>
      </c>
      <c r="N378">
        <v>21</v>
      </c>
      <c r="O378">
        <v>9</v>
      </c>
      <c r="P378">
        <v>0</v>
      </c>
      <c r="Q378">
        <v>6</v>
      </c>
      <c r="R378">
        <v>2018</v>
      </c>
      <c r="S378">
        <v>10.30927835</v>
      </c>
      <c r="T378">
        <v>12000</v>
      </c>
      <c r="U378">
        <v>89.9</v>
      </c>
      <c r="V378">
        <v>4.0999999999999996</v>
      </c>
      <c r="W378">
        <v>21.93</v>
      </c>
      <c r="X378">
        <v>35</v>
      </c>
      <c r="Y378">
        <v>3.7</v>
      </c>
      <c r="Z378">
        <v>18.10153846</v>
      </c>
      <c r="AA378">
        <v>99.9</v>
      </c>
      <c r="AB378">
        <v>4.4000000000000004</v>
      </c>
      <c r="AC378">
        <v>25.635999999999999</v>
      </c>
      <c r="AD378">
        <v>99.9</v>
      </c>
      <c r="AE378">
        <f>Table1[[#This Row],[total_price]]/Table1[[#This Row],[qty]]</f>
        <v>99.9</v>
      </c>
      <c r="AF378">
        <f t="shared" si="5"/>
        <v>99.9</v>
      </c>
      <c r="AG378">
        <f>IF(ROW()=2, "", AVERAGE(D$2:D377))</f>
        <v>14.678191489361701</v>
      </c>
    </row>
    <row r="379" spans="1:33" x14ac:dyDescent="0.25">
      <c r="A379" t="s">
        <v>67</v>
      </c>
      <c r="B379" t="s">
        <v>68</v>
      </c>
      <c r="C379" s="1">
        <v>43107</v>
      </c>
      <c r="D379">
        <v>14</v>
      </c>
      <c r="E379">
        <v>1099.5</v>
      </c>
      <c r="F379">
        <v>23.847142860000002</v>
      </c>
      <c r="G379">
        <v>78.535714290000001</v>
      </c>
      <c r="H379">
        <v>57</v>
      </c>
      <c r="I379">
        <v>272</v>
      </c>
      <c r="J379">
        <v>1</v>
      </c>
      <c r="K379">
        <v>2500</v>
      </c>
      <c r="L379">
        <v>4.4000000000000004</v>
      </c>
      <c r="M379">
        <v>22</v>
      </c>
      <c r="N379">
        <v>22</v>
      </c>
      <c r="O379">
        <v>9</v>
      </c>
      <c r="P379">
        <v>1</v>
      </c>
      <c r="Q379">
        <v>7</v>
      </c>
      <c r="R379">
        <v>2018</v>
      </c>
      <c r="S379">
        <v>14.432989689999999</v>
      </c>
      <c r="T379">
        <v>12000</v>
      </c>
      <c r="U379">
        <v>89.9</v>
      </c>
      <c r="V379">
        <v>4.0999999999999996</v>
      </c>
      <c r="W379">
        <v>29.79</v>
      </c>
      <c r="X379">
        <v>35</v>
      </c>
      <c r="Y379">
        <v>3.7</v>
      </c>
      <c r="Z379">
        <v>17.238</v>
      </c>
      <c r="AA379">
        <v>78.535714290000001</v>
      </c>
      <c r="AB379">
        <v>4.4000000000000004</v>
      </c>
      <c r="AC379">
        <v>23.847142860000002</v>
      </c>
      <c r="AD379">
        <v>99.9</v>
      </c>
      <c r="AE379">
        <f>Table1[[#This Row],[total_price]]/Table1[[#This Row],[qty]]</f>
        <v>78.535714285714292</v>
      </c>
      <c r="AF379">
        <f t="shared" si="5"/>
        <v>99.9</v>
      </c>
      <c r="AG379">
        <f>IF(ROW()=2, "", AVERAGE(D$2:D378))</f>
        <v>14.665782493368701</v>
      </c>
    </row>
    <row r="380" spans="1:33" x14ac:dyDescent="0.25">
      <c r="A380" t="s">
        <v>67</v>
      </c>
      <c r="B380" t="s">
        <v>68</v>
      </c>
      <c r="C380" s="1">
        <v>43108</v>
      </c>
      <c r="D380">
        <v>9</v>
      </c>
      <c r="E380">
        <v>754.5</v>
      </c>
      <c r="F380">
        <v>23.776666670000001</v>
      </c>
      <c r="G380">
        <v>83.833333330000002</v>
      </c>
      <c r="H380">
        <v>57</v>
      </c>
      <c r="I380">
        <v>272</v>
      </c>
      <c r="J380">
        <v>1</v>
      </c>
      <c r="K380">
        <v>2500</v>
      </c>
      <c r="L380">
        <v>4.4000000000000004</v>
      </c>
      <c r="M380">
        <v>19</v>
      </c>
      <c r="N380">
        <v>23</v>
      </c>
      <c r="O380">
        <v>8</v>
      </c>
      <c r="P380">
        <v>1</v>
      </c>
      <c r="Q380">
        <v>8</v>
      </c>
      <c r="R380">
        <v>2018</v>
      </c>
      <c r="S380">
        <v>9.2783505149999996</v>
      </c>
      <c r="T380">
        <v>12000</v>
      </c>
      <c r="U380">
        <v>103.2333333</v>
      </c>
      <c r="V380">
        <v>4.0999999999999996</v>
      </c>
      <c r="W380">
        <v>22.3</v>
      </c>
      <c r="X380">
        <v>35</v>
      </c>
      <c r="Y380">
        <v>3.7</v>
      </c>
      <c r="Z380">
        <v>15.628125000000001</v>
      </c>
      <c r="AA380">
        <v>83.833333330000002</v>
      </c>
      <c r="AB380">
        <v>4.4000000000000004</v>
      </c>
      <c r="AC380">
        <v>23.776666670000001</v>
      </c>
      <c r="AD380">
        <v>78.535714290000001</v>
      </c>
      <c r="AE380">
        <f>Table1[[#This Row],[total_price]]/Table1[[#This Row],[qty]]</f>
        <v>83.833333333333329</v>
      </c>
      <c r="AF380">
        <f t="shared" si="5"/>
        <v>78.535714285714292</v>
      </c>
      <c r="AG380">
        <f>IF(ROW()=2, "", AVERAGE(D$2:D379))</f>
        <v>14.664021164021165</v>
      </c>
    </row>
    <row r="381" spans="1:33" x14ac:dyDescent="0.25">
      <c r="A381" t="s">
        <v>69</v>
      </c>
      <c r="B381" t="s">
        <v>55</v>
      </c>
      <c r="C381" s="1">
        <v>42743</v>
      </c>
      <c r="D381">
        <v>8</v>
      </c>
      <c r="E381">
        <v>1839.2</v>
      </c>
      <c r="F381">
        <v>15.141249999999999</v>
      </c>
      <c r="G381">
        <v>229.9</v>
      </c>
      <c r="H381">
        <v>42</v>
      </c>
      <c r="I381">
        <v>236</v>
      </c>
      <c r="J381">
        <v>1</v>
      </c>
      <c r="K381">
        <v>342</v>
      </c>
      <c r="L381">
        <v>4.0999999999999996</v>
      </c>
      <c r="M381">
        <v>48</v>
      </c>
      <c r="N381">
        <v>23</v>
      </c>
      <c r="O381">
        <v>8</v>
      </c>
      <c r="P381">
        <v>1</v>
      </c>
      <c r="Q381">
        <v>8</v>
      </c>
      <c r="R381">
        <v>2017</v>
      </c>
      <c r="S381">
        <v>12.121212119999999</v>
      </c>
      <c r="T381">
        <v>3510</v>
      </c>
      <c r="U381">
        <v>160.66923080000001</v>
      </c>
      <c r="V381">
        <v>4.2</v>
      </c>
      <c r="W381">
        <v>15.185384620000001</v>
      </c>
      <c r="X381">
        <v>229.9</v>
      </c>
      <c r="Y381">
        <v>4.0999999999999996</v>
      </c>
      <c r="Z381">
        <v>15.141249999999999</v>
      </c>
      <c r="AA381">
        <v>179.9</v>
      </c>
      <c r="AB381">
        <v>3.8</v>
      </c>
      <c r="AC381">
        <v>14.926666669999999</v>
      </c>
      <c r="AD381">
        <v>229.85</v>
      </c>
      <c r="AE381">
        <f>Table1[[#This Row],[total_price]]/Table1[[#This Row],[qty]]</f>
        <v>229.9</v>
      </c>
      <c r="AF381" t="str">
        <f t="shared" si="5"/>
        <v/>
      </c>
      <c r="AG381">
        <f>IF(ROW()=2, "", AVERAGE(D$2:D380))</f>
        <v>14.649076517150396</v>
      </c>
    </row>
    <row r="382" spans="1:33" x14ac:dyDescent="0.25">
      <c r="A382" t="s">
        <v>69</v>
      </c>
      <c r="B382" t="s">
        <v>55</v>
      </c>
      <c r="C382" s="1">
        <v>42744</v>
      </c>
      <c r="D382">
        <v>10</v>
      </c>
      <c r="E382">
        <v>2190.6</v>
      </c>
      <c r="F382">
        <v>15.345000000000001</v>
      </c>
      <c r="G382">
        <v>219.06</v>
      </c>
      <c r="H382">
        <v>42</v>
      </c>
      <c r="I382">
        <v>236</v>
      </c>
      <c r="J382">
        <v>1</v>
      </c>
      <c r="K382">
        <v>342</v>
      </c>
      <c r="L382">
        <v>4.0999999999999996</v>
      </c>
      <c r="M382">
        <v>54</v>
      </c>
      <c r="N382">
        <v>21</v>
      </c>
      <c r="O382">
        <v>9</v>
      </c>
      <c r="P382">
        <v>1</v>
      </c>
      <c r="Q382">
        <v>9</v>
      </c>
      <c r="R382">
        <v>2017</v>
      </c>
      <c r="S382">
        <v>15.15151515</v>
      </c>
      <c r="T382">
        <v>3510</v>
      </c>
      <c r="U382">
        <v>148.7785714</v>
      </c>
      <c r="V382">
        <v>4.2</v>
      </c>
      <c r="W382">
        <v>14.041111109999999</v>
      </c>
      <c r="X382">
        <v>219.06</v>
      </c>
      <c r="Y382">
        <v>4.0999999999999996</v>
      </c>
      <c r="Z382">
        <v>15.345000000000001</v>
      </c>
      <c r="AA382">
        <v>164.57</v>
      </c>
      <c r="AB382">
        <v>3.8</v>
      </c>
      <c r="AC382">
        <v>19.527999999999999</v>
      </c>
      <c r="AD382">
        <v>229.9</v>
      </c>
      <c r="AE382">
        <f>Table1[[#This Row],[total_price]]/Table1[[#This Row],[qty]]</f>
        <v>219.06</v>
      </c>
      <c r="AF382">
        <f t="shared" si="5"/>
        <v>229.9</v>
      </c>
      <c r="AG382">
        <f>IF(ROW()=2, "", AVERAGE(D$2:D381))</f>
        <v>14.631578947368421</v>
      </c>
    </row>
    <row r="383" spans="1:33" x14ac:dyDescent="0.25">
      <c r="A383" t="s">
        <v>69</v>
      </c>
      <c r="B383" t="s">
        <v>55</v>
      </c>
      <c r="C383" s="1">
        <v>42745</v>
      </c>
      <c r="D383">
        <v>8</v>
      </c>
      <c r="E383">
        <v>1729.2</v>
      </c>
      <c r="F383">
        <v>19.100000000000001</v>
      </c>
      <c r="G383">
        <v>216.15</v>
      </c>
      <c r="H383">
        <v>42</v>
      </c>
      <c r="I383">
        <v>236</v>
      </c>
      <c r="J383">
        <v>1</v>
      </c>
      <c r="K383">
        <v>342</v>
      </c>
      <c r="L383">
        <v>4.0999999999999996</v>
      </c>
      <c r="M383">
        <v>43</v>
      </c>
      <c r="N383">
        <v>22</v>
      </c>
      <c r="O383">
        <v>9</v>
      </c>
      <c r="P383">
        <v>2</v>
      </c>
      <c r="Q383">
        <v>10</v>
      </c>
      <c r="R383">
        <v>2017</v>
      </c>
      <c r="S383">
        <v>12.121212119999999</v>
      </c>
      <c r="T383">
        <v>3510</v>
      </c>
      <c r="U383">
        <v>134.9</v>
      </c>
      <c r="V383">
        <v>4.2</v>
      </c>
      <c r="W383">
        <v>6.81</v>
      </c>
      <c r="X383">
        <v>216.15</v>
      </c>
      <c r="Y383">
        <v>4.0999999999999996</v>
      </c>
      <c r="Z383">
        <v>19.100000000000001</v>
      </c>
      <c r="AA383">
        <v>232.49</v>
      </c>
      <c r="AB383">
        <v>3.8</v>
      </c>
      <c r="AC383">
        <v>14.2125</v>
      </c>
      <c r="AD383">
        <v>219.06</v>
      </c>
      <c r="AE383">
        <f>Table1[[#This Row],[total_price]]/Table1[[#This Row],[qty]]</f>
        <v>216.15</v>
      </c>
      <c r="AF383">
        <f t="shared" si="5"/>
        <v>219.06</v>
      </c>
      <c r="AG383">
        <f>IF(ROW()=2, "", AVERAGE(D$2:D382))</f>
        <v>14.619422572178477</v>
      </c>
    </row>
    <row r="384" spans="1:33" x14ac:dyDescent="0.25">
      <c r="A384" t="s">
        <v>69</v>
      </c>
      <c r="B384" t="s">
        <v>55</v>
      </c>
      <c r="C384" s="1">
        <v>42746</v>
      </c>
      <c r="D384">
        <v>12</v>
      </c>
      <c r="E384">
        <v>2395.1999999999998</v>
      </c>
      <c r="F384">
        <v>19.795000000000002</v>
      </c>
      <c r="G384">
        <v>203.29090909999999</v>
      </c>
      <c r="H384">
        <v>42</v>
      </c>
      <c r="I384">
        <v>236</v>
      </c>
      <c r="J384">
        <v>1</v>
      </c>
      <c r="K384">
        <v>342</v>
      </c>
      <c r="L384">
        <v>4.0999999999999996</v>
      </c>
      <c r="M384">
        <v>91</v>
      </c>
      <c r="N384">
        <v>22</v>
      </c>
      <c r="O384">
        <v>8</v>
      </c>
      <c r="P384">
        <v>4</v>
      </c>
      <c r="Q384">
        <v>11</v>
      </c>
      <c r="R384">
        <v>2017</v>
      </c>
      <c r="S384">
        <v>18.18181818</v>
      </c>
      <c r="T384">
        <v>3510</v>
      </c>
      <c r="U384">
        <v>133</v>
      </c>
      <c r="V384">
        <v>4.2</v>
      </c>
      <c r="W384">
        <v>19.916666670000001</v>
      </c>
      <c r="X384">
        <v>108</v>
      </c>
      <c r="Y384">
        <v>4.2</v>
      </c>
      <c r="Z384">
        <v>15.908461539999999</v>
      </c>
      <c r="AA384">
        <v>174.43333329999999</v>
      </c>
      <c r="AB384">
        <v>3.8</v>
      </c>
      <c r="AC384">
        <v>20.992777780000001</v>
      </c>
      <c r="AD384">
        <v>216.15</v>
      </c>
      <c r="AE384">
        <f>Table1[[#This Row],[total_price]]/Table1[[#This Row],[qty]]</f>
        <v>199.6</v>
      </c>
      <c r="AF384">
        <f t="shared" si="5"/>
        <v>216.15</v>
      </c>
      <c r="AG384">
        <f>IF(ROW()=2, "", AVERAGE(D$2:D383))</f>
        <v>14.602094240837696</v>
      </c>
    </row>
    <row r="385" spans="1:33" x14ac:dyDescent="0.25">
      <c r="A385" t="s">
        <v>69</v>
      </c>
      <c r="B385" t="s">
        <v>55</v>
      </c>
      <c r="C385" s="1">
        <v>42747</v>
      </c>
      <c r="D385">
        <v>28</v>
      </c>
      <c r="E385">
        <v>6287.2</v>
      </c>
      <c r="F385">
        <v>17.486785709999999</v>
      </c>
      <c r="G385">
        <v>224.54285709999999</v>
      </c>
      <c r="H385">
        <v>42</v>
      </c>
      <c r="I385">
        <v>236</v>
      </c>
      <c r="J385">
        <v>1</v>
      </c>
      <c r="K385">
        <v>342</v>
      </c>
      <c r="L385">
        <v>4.0999999999999996</v>
      </c>
      <c r="M385">
        <v>73</v>
      </c>
      <c r="N385">
        <v>21</v>
      </c>
      <c r="O385">
        <v>10</v>
      </c>
      <c r="P385">
        <v>1</v>
      </c>
      <c r="Q385">
        <v>12</v>
      </c>
      <c r="R385">
        <v>2017</v>
      </c>
      <c r="S385">
        <v>42.424242419999999</v>
      </c>
      <c r="T385">
        <v>3510</v>
      </c>
      <c r="U385">
        <v>149</v>
      </c>
      <c r="V385">
        <v>4.2</v>
      </c>
      <c r="W385">
        <v>19.100000000000001</v>
      </c>
      <c r="X385">
        <v>108</v>
      </c>
      <c r="Y385">
        <v>4.2</v>
      </c>
      <c r="Z385">
        <v>16.65384615</v>
      </c>
      <c r="AA385">
        <v>185.96</v>
      </c>
      <c r="AB385">
        <v>3.8</v>
      </c>
      <c r="AC385">
        <v>18.686</v>
      </c>
      <c r="AD385">
        <v>203.29090909999999</v>
      </c>
      <c r="AE385">
        <f>Table1[[#This Row],[total_price]]/Table1[[#This Row],[qty]]</f>
        <v>224.54285714285714</v>
      </c>
      <c r="AF385">
        <f t="shared" si="5"/>
        <v>199.6</v>
      </c>
      <c r="AG385">
        <f>IF(ROW()=2, "", AVERAGE(D$2:D384))</f>
        <v>14.595300261096606</v>
      </c>
    </row>
    <row r="386" spans="1:33" x14ac:dyDescent="0.25">
      <c r="A386" t="s">
        <v>69</v>
      </c>
      <c r="B386" t="s">
        <v>55</v>
      </c>
      <c r="C386" s="1">
        <v>43101</v>
      </c>
      <c r="D386">
        <v>10</v>
      </c>
      <c r="E386">
        <v>2207.6999999999998</v>
      </c>
      <c r="F386">
        <v>20.495999999999999</v>
      </c>
      <c r="G386">
        <v>220.77</v>
      </c>
      <c r="H386">
        <v>42</v>
      </c>
      <c r="I386">
        <v>236</v>
      </c>
      <c r="J386">
        <v>1</v>
      </c>
      <c r="K386">
        <v>342</v>
      </c>
      <c r="L386">
        <v>4.0999999999999996</v>
      </c>
      <c r="M386">
        <v>59</v>
      </c>
      <c r="N386">
        <v>23</v>
      </c>
      <c r="O386">
        <v>8</v>
      </c>
      <c r="P386">
        <v>2</v>
      </c>
      <c r="Q386">
        <v>1</v>
      </c>
      <c r="R386">
        <v>2018</v>
      </c>
      <c r="S386">
        <v>12.98701299</v>
      </c>
      <c r="T386">
        <v>3510</v>
      </c>
      <c r="U386">
        <v>220.77</v>
      </c>
      <c r="V386">
        <v>4.0999999999999996</v>
      </c>
      <c r="W386">
        <v>20.495999999999999</v>
      </c>
      <c r="X386">
        <v>108</v>
      </c>
      <c r="Y386">
        <v>4.2</v>
      </c>
      <c r="Z386">
        <v>16.196363640000001</v>
      </c>
      <c r="AA386">
        <v>199</v>
      </c>
      <c r="AB386">
        <v>3.8</v>
      </c>
      <c r="AC386">
        <v>21.88</v>
      </c>
      <c r="AD386">
        <v>224.54285709999999</v>
      </c>
      <c r="AE386">
        <f>Table1[[#This Row],[total_price]]/Table1[[#This Row],[qty]]</f>
        <v>220.76999999999998</v>
      </c>
      <c r="AF386">
        <f t="shared" ref="AF386:AF449" si="6">IF(A386=A385,AE385,"")</f>
        <v>224.54285714285714</v>
      </c>
      <c r="AG386">
        <f>IF(ROW()=2, "", AVERAGE(D$2:D385))</f>
        <v>14.630208333333334</v>
      </c>
    </row>
    <row r="387" spans="1:33" x14ac:dyDescent="0.25">
      <c r="A387" t="s">
        <v>69</v>
      </c>
      <c r="B387" t="s">
        <v>55</v>
      </c>
      <c r="C387" s="1">
        <v>43102</v>
      </c>
      <c r="D387">
        <v>21</v>
      </c>
      <c r="E387">
        <v>4319.3999999999996</v>
      </c>
      <c r="F387">
        <v>20.902380950000001</v>
      </c>
      <c r="G387">
        <v>205.6857143</v>
      </c>
      <c r="H387">
        <v>42</v>
      </c>
      <c r="I387">
        <v>236</v>
      </c>
      <c r="J387">
        <v>1</v>
      </c>
      <c r="K387">
        <v>342</v>
      </c>
      <c r="L387">
        <v>4.0999999999999996</v>
      </c>
      <c r="M387">
        <v>90</v>
      </c>
      <c r="N387">
        <v>20</v>
      </c>
      <c r="O387">
        <v>8</v>
      </c>
      <c r="P387">
        <v>2</v>
      </c>
      <c r="Q387">
        <v>2</v>
      </c>
      <c r="R387">
        <v>2018</v>
      </c>
      <c r="S387">
        <v>27.272727270000001</v>
      </c>
      <c r="T387">
        <v>3510</v>
      </c>
      <c r="U387">
        <v>128.2416667</v>
      </c>
      <c r="V387">
        <v>4.2</v>
      </c>
      <c r="W387">
        <v>15.926666669999999</v>
      </c>
      <c r="X387">
        <v>108</v>
      </c>
      <c r="Y387">
        <v>4.2</v>
      </c>
      <c r="Z387">
        <v>18.253636360000002</v>
      </c>
      <c r="AA387">
        <v>182</v>
      </c>
      <c r="AB387">
        <v>3.8</v>
      </c>
      <c r="AC387">
        <v>19.329999999999998</v>
      </c>
      <c r="AD387">
        <v>220.77</v>
      </c>
      <c r="AE387">
        <f>Table1[[#This Row],[total_price]]/Table1[[#This Row],[qty]]</f>
        <v>205.68571428571425</v>
      </c>
      <c r="AF387">
        <f t="shared" si="6"/>
        <v>220.76999999999998</v>
      </c>
      <c r="AG387">
        <f>IF(ROW()=2, "", AVERAGE(D$2:D386))</f>
        <v>14.618181818181819</v>
      </c>
    </row>
    <row r="388" spans="1:33" x14ac:dyDescent="0.25">
      <c r="A388" t="s">
        <v>69</v>
      </c>
      <c r="B388" t="s">
        <v>55</v>
      </c>
      <c r="C388" s="1">
        <v>43103</v>
      </c>
      <c r="D388">
        <v>16</v>
      </c>
      <c r="E388">
        <v>3459</v>
      </c>
      <c r="F388">
        <v>29.476875</v>
      </c>
      <c r="G388">
        <v>216.1875</v>
      </c>
      <c r="H388">
        <v>42</v>
      </c>
      <c r="I388">
        <v>236</v>
      </c>
      <c r="J388">
        <v>1</v>
      </c>
      <c r="K388">
        <v>342</v>
      </c>
      <c r="L388">
        <v>4.0999999999999996</v>
      </c>
      <c r="M388">
        <v>125</v>
      </c>
      <c r="N388">
        <v>22</v>
      </c>
      <c r="O388">
        <v>9</v>
      </c>
      <c r="P388">
        <v>1</v>
      </c>
      <c r="Q388">
        <v>3</v>
      </c>
      <c r="R388">
        <v>2018</v>
      </c>
      <c r="S388">
        <v>20.779220779999999</v>
      </c>
      <c r="T388">
        <v>3510</v>
      </c>
      <c r="U388">
        <v>117.44129030000001</v>
      </c>
      <c r="V388">
        <v>4.2</v>
      </c>
      <c r="W388">
        <v>18.261290320000001</v>
      </c>
      <c r="X388">
        <v>105.6428571</v>
      </c>
      <c r="Y388">
        <v>4.2</v>
      </c>
      <c r="Z388">
        <v>21.6652381</v>
      </c>
      <c r="AA388">
        <v>151.87843749999999</v>
      </c>
      <c r="AB388">
        <v>3.8</v>
      </c>
      <c r="AC388">
        <v>20.313749999999999</v>
      </c>
      <c r="AD388">
        <v>205.6857143</v>
      </c>
      <c r="AE388">
        <f>Table1[[#This Row],[total_price]]/Table1[[#This Row],[qty]]</f>
        <v>216.1875</v>
      </c>
      <c r="AF388">
        <f t="shared" si="6"/>
        <v>205.68571428571425</v>
      </c>
      <c r="AG388">
        <f>IF(ROW()=2, "", AVERAGE(D$2:D387))</f>
        <v>14.634715025906736</v>
      </c>
    </row>
    <row r="389" spans="1:33" x14ac:dyDescent="0.25">
      <c r="A389" t="s">
        <v>69</v>
      </c>
      <c r="B389" t="s">
        <v>55</v>
      </c>
      <c r="C389" s="1">
        <v>43104</v>
      </c>
      <c r="D389">
        <v>13</v>
      </c>
      <c r="E389">
        <v>2657</v>
      </c>
      <c r="F389">
        <v>4.0884615379999998</v>
      </c>
      <c r="G389">
        <v>204.3846154</v>
      </c>
      <c r="H389">
        <v>42</v>
      </c>
      <c r="I389">
        <v>236</v>
      </c>
      <c r="J389">
        <v>1</v>
      </c>
      <c r="K389">
        <v>342</v>
      </c>
      <c r="L389">
        <v>4.0999999999999996</v>
      </c>
      <c r="M389">
        <v>178</v>
      </c>
      <c r="N389">
        <v>21</v>
      </c>
      <c r="O389">
        <v>9</v>
      </c>
      <c r="P389">
        <v>1</v>
      </c>
      <c r="Q389">
        <v>4</v>
      </c>
      <c r="R389">
        <v>2018</v>
      </c>
      <c r="S389">
        <v>16.883116879999999</v>
      </c>
      <c r="T389">
        <v>3510</v>
      </c>
      <c r="U389">
        <v>105.648625</v>
      </c>
      <c r="V389">
        <v>4.2</v>
      </c>
      <c r="W389">
        <v>2.1816470589999999</v>
      </c>
      <c r="X389">
        <v>105</v>
      </c>
      <c r="Y389">
        <v>4.2</v>
      </c>
      <c r="Z389">
        <v>13.631428570000001</v>
      </c>
      <c r="AA389">
        <v>150.1333333</v>
      </c>
      <c r="AB389">
        <v>3.8</v>
      </c>
      <c r="AC389">
        <v>19.447777779999999</v>
      </c>
      <c r="AD389">
        <v>216.1875</v>
      </c>
      <c r="AE389">
        <f>Table1[[#This Row],[total_price]]/Table1[[#This Row],[qty]]</f>
        <v>204.38461538461539</v>
      </c>
      <c r="AF389">
        <f t="shared" si="6"/>
        <v>216.1875</v>
      </c>
      <c r="AG389">
        <f>IF(ROW()=2, "", AVERAGE(D$2:D388))</f>
        <v>14.638242894056848</v>
      </c>
    </row>
    <row r="390" spans="1:33" x14ac:dyDescent="0.25">
      <c r="A390" t="s">
        <v>69</v>
      </c>
      <c r="B390" t="s">
        <v>55</v>
      </c>
      <c r="C390" s="1">
        <v>43105</v>
      </c>
      <c r="D390">
        <v>17</v>
      </c>
      <c r="E390">
        <v>3383</v>
      </c>
      <c r="F390">
        <v>0</v>
      </c>
      <c r="G390">
        <v>199</v>
      </c>
      <c r="H390">
        <v>42</v>
      </c>
      <c r="I390">
        <v>236</v>
      </c>
      <c r="J390">
        <v>1</v>
      </c>
      <c r="K390">
        <v>342</v>
      </c>
      <c r="L390">
        <v>4.0999999999999996</v>
      </c>
      <c r="M390">
        <v>260</v>
      </c>
      <c r="N390">
        <v>23</v>
      </c>
      <c r="O390">
        <v>8</v>
      </c>
      <c r="P390">
        <v>3</v>
      </c>
      <c r="Q390">
        <v>5</v>
      </c>
      <c r="R390">
        <v>2018</v>
      </c>
      <c r="S390">
        <v>22.07792208</v>
      </c>
      <c r="T390">
        <v>3510</v>
      </c>
      <c r="U390">
        <v>103.79252339999999</v>
      </c>
      <c r="V390">
        <v>4.2</v>
      </c>
      <c r="W390">
        <v>9.5438596000000001E-2</v>
      </c>
      <c r="X390">
        <v>105</v>
      </c>
      <c r="Y390">
        <v>4.2</v>
      </c>
      <c r="Z390">
        <v>11.3772973</v>
      </c>
      <c r="AA390">
        <v>132.53125</v>
      </c>
      <c r="AB390">
        <v>3.8</v>
      </c>
      <c r="AC390">
        <v>15.7621875</v>
      </c>
      <c r="AD390">
        <v>204.3846154</v>
      </c>
      <c r="AE390">
        <f>Table1[[#This Row],[total_price]]/Table1[[#This Row],[qty]]</f>
        <v>199</v>
      </c>
      <c r="AF390">
        <f t="shared" si="6"/>
        <v>204.38461538461539</v>
      </c>
      <c r="AG390">
        <f>IF(ROW()=2, "", AVERAGE(D$2:D389))</f>
        <v>14.634020618556701</v>
      </c>
    </row>
    <row r="391" spans="1:33" x14ac:dyDescent="0.25">
      <c r="A391" t="s">
        <v>70</v>
      </c>
      <c r="B391" t="s">
        <v>38</v>
      </c>
      <c r="C391" s="1">
        <v>42736</v>
      </c>
      <c r="D391">
        <v>1</v>
      </c>
      <c r="E391">
        <v>64.989999999999995</v>
      </c>
      <c r="F391">
        <v>11.06</v>
      </c>
      <c r="G391">
        <v>64.989999999999995</v>
      </c>
      <c r="H391">
        <v>59</v>
      </c>
      <c r="I391">
        <v>492</v>
      </c>
      <c r="J391">
        <v>2</v>
      </c>
      <c r="K391">
        <v>200</v>
      </c>
      <c r="L391">
        <v>3.9</v>
      </c>
      <c r="M391">
        <v>9</v>
      </c>
      <c r="N391">
        <v>22</v>
      </c>
      <c r="O391">
        <v>9</v>
      </c>
      <c r="P391">
        <v>1</v>
      </c>
      <c r="Q391">
        <v>1</v>
      </c>
      <c r="R391">
        <v>2017</v>
      </c>
      <c r="S391">
        <v>5.6428571429999996</v>
      </c>
      <c r="T391">
        <v>3960</v>
      </c>
      <c r="U391">
        <v>64.989999999999995</v>
      </c>
      <c r="V391">
        <v>3.9</v>
      </c>
      <c r="W391">
        <v>11.06</v>
      </c>
      <c r="X391">
        <v>64.989999999999995</v>
      </c>
      <c r="Y391">
        <v>3.9</v>
      </c>
      <c r="Z391">
        <v>11.06</v>
      </c>
      <c r="AA391">
        <v>64.989999999999995</v>
      </c>
      <c r="AB391">
        <v>3.9</v>
      </c>
      <c r="AC391">
        <v>11.06</v>
      </c>
      <c r="AD391">
        <v>64.94</v>
      </c>
      <c r="AE391">
        <f>Table1[[#This Row],[total_price]]/Table1[[#This Row],[qty]]</f>
        <v>64.989999999999995</v>
      </c>
      <c r="AF391" t="str">
        <f t="shared" si="6"/>
        <v/>
      </c>
      <c r="AG391">
        <f>IF(ROW()=2, "", AVERAGE(D$2:D390))</f>
        <v>14.640102827763496</v>
      </c>
    </row>
    <row r="392" spans="1:33" x14ac:dyDescent="0.25">
      <c r="A392" t="s">
        <v>70</v>
      </c>
      <c r="B392" t="s">
        <v>38</v>
      </c>
      <c r="C392" s="1">
        <v>42737</v>
      </c>
      <c r="D392">
        <v>5</v>
      </c>
      <c r="E392">
        <v>324.95</v>
      </c>
      <c r="F392">
        <v>15.348000000000001</v>
      </c>
      <c r="G392">
        <v>64.989999999999995</v>
      </c>
      <c r="H392">
        <v>59</v>
      </c>
      <c r="I392">
        <v>492</v>
      </c>
      <c r="J392">
        <v>2</v>
      </c>
      <c r="K392">
        <v>200</v>
      </c>
      <c r="L392">
        <v>3.9</v>
      </c>
      <c r="M392">
        <v>19</v>
      </c>
      <c r="N392">
        <v>20</v>
      </c>
      <c r="O392">
        <v>8</v>
      </c>
      <c r="P392">
        <v>2</v>
      </c>
      <c r="Q392">
        <v>2</v>
      </c>
      <c r="R392">
        <v>2017</v>
      </c>
      <c r="S392">
        <v>13.92857143</v>
      </c>
      <c r="T392">
        <v>3960</v>
      </c>
      <c r="U392">
        <v>19.989999999999998</v>
      </c>
      <c r="V392">
        <v>4.3</v>
      </c>
      <c r="W392">
        <v>11.75090909</v>
      </c>
      <c r="X392">
        <v>64.989999999999995</v>
      </c>
      <c r="Y392">
        <v>3.9</v>
      </c>
      <c r="Z392">
        <v>15.348000000000001</v>
      </c>
      <c r="AA392">
        <v>64.989999999999995</v>
      </c>
      <c r="AB392">
        <v>3.9</v>
      </c>
      <c r="AC392">
        <v>15.348000000000001</v>
      </c>
      <c r="AD392">
        <v>64.989999999999995</v>
      </c>
      <c r="AE392">
        <f>Table1[[#This Row],[total_price]]/Table1[[#This Row],[qty]]</f>
        <v>64.989999999999995</v>
      </c>
      <c r="AF392">
        <f t="shared" si="6"/>
        <v>64.989999999999995</v>
      </c>
      <c r="AG392">
        <f>IF(ROW()=2, "", AVERAGE(D$2:D391))</f>
        <v>14.605128205128205</v>
      </c>
    </row>
    <row r="393" spans="1:33" x14ac:dyDescent="0.25">
      <c r="A393" t="s">
        <v>70</v>
      </c>
      <c r="B393" t="s">
        <v>38</v>
      </c>
      <c r="C393" s="1">
        <v>42738</v>
      </c>
      <c r="D393">
        <v>9</v>
      </c>
      <c r="E393">
        <v>584.91</v>
      </c>
      <c r="F393">
        <v>17.262222220000002</v>
      </c>
      <c r="G393">
        <v>64.989999999999995</v>
      </c>
      <c r="H393">
        <v>59</v>
      </c>
      <c r="I393">
        <v>492</v>
      </c>
      <c r="J393">
        <v>2</v>
      </c>
      <c r="K393">
        <v>200</v>
      </c>
      <c r="L393">
        <v>3.9</v>
      </c>
      <c r="M393">
        <v>25</v>
      </c>
      <c r="N393">
        <v>23</v>
      </c>
      <c r="O393">
        <v>8</v>
      </c>
      <c r="P393">
        <v>1</v>
      </c>
      <c r="Q393">
        <v>3</v>
      </c>
      <c r="R393">
        <v>2017</v>
      </c>
      <c r="S393">
        <v>11.5</v>
      </c>
      <c r="T393">
        <v>3960</v>
      </c>
      <c r="U393">
        <v>19.989999999999998</v>
      </c>
      <c r="V393">
        <v>4.3</v>
      </c>
      <c r="W393">
        <v>13.81888889</v>
      </c>
      <c r="X393">
        <v>89.99</v>
      </c>
      <c r="Y393">
        <v>4.0999999999999996</v>
      </c>
      <c r="Z393">
        <v>13.02</v>
      </c>
      <c r="AA393">
        <v>64.989999999999995</v>
      </c>
      <c r="AB393">
        <v>3.9</v>
      </c>
      <c r="AC393">
        <v>17.262222220000002</v>
      </c>
      <c r="AD393">
        <v>64.989999999999995</v>
      </c>
      <c r="AE393">
        <f>Table1[[#This Row],[total_price]]/Table1[[#This Row],[qty]]</f>
        <v>64.989999999999995</v>
      </c>
      <c r="AF393">
        <f t="shared" si="6"/>
        <v>64.989999999999995</v>
      </c>
      <c r="AG393">
        <f>IF(ROW()=2, "", AVERAGE(D$2:D392))</f>
        <v>14.580562659846548</v>
      </c>
    </row>
    <row r="394" spans="1:33" x14ac:dyDescent="0.25">
      <c r="A394" t="s">
        <v>70</v>
      </c>
      <c r="B394" t="s">
        <v>38</v>
      </c>
      <c r="C394" s="1">
        <v>42739</v>
      </c>
      <c r="D394">
        <v>9</v>
      </c>
      <c r="E394">
        <v>584.91</v>
      </c>
      <c r="F394">
        <v>15.16888889</v>
      </c>
      <c r="G394">
        <v>64.989999999999995</v>
      </c>
      <c r="H394">
        <v>59</v>
      </c>
      <c r="I394">
        <v>492</v>
      </c>
      <c r="J394">
        <v>2</v>
      </c>
      <c r="K394">
        <v>200</v>
      </c>
      <c r="L394">
        <v>3.9</v>
      </c>
      <c r="M394">
        <v>23</v>
      </c>
      <c r="N394">
        <v>20</v>
      </c>
      <c r="O394">
        <v>10</v>
      </c>
      <c r="P394">
        <v>2</v>
      </c>
      <c r="Q394">
        <v>4</v>
      </c>
      <c r="R394">
        <v>2017</v>
      </c>
      <c r="S394">
        <v>12.39285714</v>
      </c>
      <c r="T394">
        <v>3960</v>
      </c>
      <c r="U394">
        <v>19.989999999999998</v>
      </c>
      <c r="V394">
        <v>4.3</v>
      </c>
      <c r="W394">
        <v>18.03846154</v>
      </c>
      <c r="X394">
        <v>64.989999999999995</v>
      </c>
      <c r="Y394">
        <v>3.9</v>
      </c>
      <c r="Z394">
        <v>15.16888889</v>
      </c>
      <c r="AA394">
        <v>64.989999999999995</v>
      </c>
      <c r="AB394">
        <v>3.9</v>
      </c>
      <c r="AC394">
        <v>15.16888889</v>
      </c>
      <c r="AD394">
        <v>64.989999999999995</v>
      </c>
      <c r="AE394">
        <f>Table1[[#This Row],[total_price]]/Table1[[#This Row],[qty]]</f>
        <v>64.989999999999995</v>
      </c>
      <c r="AF394">
        <f t="shared" si="6"/>
        <v>64.989999999999995</v>
      </c>
      <c r="AG394">
        <f>IF(ROW()=2, "", AVERAGE(D$2:D393))</f>
        <v>14.566326530612244</v>
      </c>
    </row>
    <row r="395" spans="1:33" x14ac:dyDescent="0.25">
      <c r="A395" t="s">
        <v>70</v>
      </c>
      <c r="B395" t="s">
        <v>38</v>
      </c>
      <c r="C395" s="1">
        <v>42740</v>
      </c>
      <c r="D395">
        <v>16</v>
      </c>
      <c r="E395">
        <v>1039.8399999999999</v>
      </c>
      <c r="F395">
        <v>14.811875000000001</v>
      </c>
      <c r="G395">
        <v>64.989999999999995</v>
      </c>
      <c r="H395">
        <v>59</v>
      </c>
      <c r="I395">
        <v>492</v>
      </c>
      <c r="J395">
        <v>2</v>
      </c>
      <c r="K395">
        <v>200</v>
      </c>
      <c r="L395">
        <v>3.9</v>
      </c>
      <c r="M395">
        <v>41</v>
      </c>
      <c r="N395">
        <v>23</v>
      </c>
      <c r="O395">
        <v>8</v>
      </c>
      <c r="P395">
        <v>1</v>
      </c>
      <c r="Q395">
        <v>5</v>
      </c>
      <c r="R395">
        <v>2017</v>
      </c>
      <c r="S395">
        <v>8.1428571430000005</v>
      </c>
      <c r="T395">
        <v>3960</v>
      </c>
      <c r="U395">
        <v>19.989999999999998</v>
      </c>
      <c r="V395">
        <v>4.3</v>
      </c>
      <c r="W395">
        <v>14.8475</v>
      </c>
      <c r="X395">
        <v>89.99</v>
      </c>
      <c r="Y395">
        <v>4.0999999999999996</v>
      </c>
      <c r="Z395">
        <v>16.098333329999999</v>
      </c>
      <c r="AA395">
        <v>64.989999999999995</v>
      </c>
      <c r="AB395">
        <v>3.9</v>
      </c>
      <c r="AC395">
        <v>14.811875000000001</v>
      </c>
      <c r="AD395">
        <v>64.989999999999995</v>
      </c>
      <c r="AE395">
        <f>Table1[[#This Row],[total_price]]/Table1[[#This Row],[qty]]</f>
        <v>64.989999999999995</v>
      </c>
      <c r="AF395">
        <f t="shared" si="6"/>
        <v>64.989999999999995</v>
      </c>
      <c r="AG395">
        <f>IF(ROW()=2, "", AVERAGE(D$2:D394))</f>
        <v>14.552162849872774</v>
      </c>
    </row>
    <row r="396" spans="1:33" x14ac:dyDescent="0.25">
      <c r="A396" t="s">
        <v>70</v>
      </c>
      <c r="B396" t="s">
        <v>38</v>
      </c>
      <c r="C396" s="1">
        <v>42741</v>
      </c>
      <c r="D396">
        <v>21</v>
      </c>
      <c r="E396">
        <v>1234.79</v>
      </c>
      <c r="F396">
        <v>13.903333330000001</v>
      </c>
      <c r="G396">
        <v>58.799523809999997</v>
      </c>
      <c r="H396">
        <v>59</v>
      </c>
      <c r="I396">
        <v>492</v>
      </c>
      <c r="J396">
        <v>2</v>
      </c>
      <c r="K396">
        <v>200</v>
      </c>
      <c r="L396">
        <v>3.9</v>
      </c>
      <c r="M396">
        <v>53</v>
      </c>
      <c r="N396">
        <v>22</v>
      </c>
      <c r="O396">
        <v>8</v>
      </c>
      <c r="P396">
        <v>1</v>
      </c>
      <c r="Q396">
        <v>6</v>
      </c>
      <c r="R396">
        <v>2017</v>
      </c>
      <c r="S396">
        <v>11.35714286</v>
      </c>
      <c r="T396">
        <v>3960</v>
      </c>
      <c r="U396">
        <v>19.989999999999998</v>
      </c>
      <c r="V396">
        <v>4.3</v>
      </c>
      <c r="W396">
        <v>12.68333333</v>
      </c>
      <c r="X396">
        <v>89.99</v>
      </c>
      <c r="Y396">
        <v>4.0999999999999996</v>
      </c>
      <c r="Z396">
        <v>14.16333333</v>
      </c>
      <c r="AA396">
        <v>58.799523809999997</v>
      </c>
      <c r="AB396">
        <v>3.9</v>
      </c>
      <c r="AC396">
        <v>13.903333330000001</v>
      </c>
      <c r="AD396">
        <v>64.989999999999995</v>
      </c>
      <c r="AE396">
        <f>Table1[[#This Row],[total_price]]/Table1[[#This Row],[qty]]</f>
        <v>58.799523809523805</v>
      </c>
      <c r="AF396">
        <f t="shared" si="6"/>
        <v>64.989999999999995</v>
      </c>
      <c r="AG396">
        <f>IF(ROW()=2, "", AVERAGE(D$2:D395))</f>
        <v>14.555837563451776</v>
      </c>
    </row>
    <row r="397" spans="1:33" x14ac:dyDescent="0.25">
      <c r="A397" t="s">
        <v>70</v>
      </c>
      <c r="B397" t="s">
        <v>38</v>
      </c>
      <c r="C397" s="1">
        <v>42742</v>
      </c>
      <c r="D397">
        <v>15</v>
      </c>
      <c r="E397">
        <v>888.85</v>
      </c>
      <c r="F397">
        <v>17.998000000000001</v>
      </c>
      <c r="G397">
        <v>59.256666670000001</v>
      </c>
      <c r="H397">
        <v>59</v>
      </c>
      <c r="I397">
        <v>492</v>
      </c>
      <c r="J397">
        <v>2</v>
      </c>
      <c r="K397">
        <v>200</v>
      </c>
      <c r="L397">
        <v>3.9</v>
      </c>
      <c r="M397">
        <v>61</v>
      </c>
      <c r="N397">
        <v>21</v>
      </c>
      <c r="O397">
        <v>10</v>
      </c>
      <c r="P397">
        <v>1</v>
      </c>
      <c r="Q397">
        <v>7</v>
      </c>
      <c r="R397">
        <v>2017</v>
      </c>
      <c r="S397">
        <v>6.0714285710000002</v>
      </c>
      <c r="T397">
        <v>3960</v>
      </c>
      <c r="U397">
        <v>19.989999999999998</v>
      </c>
      <c r="V397">
        <v>4.3</v>
      </c>
      <c r="W397">
        <v>11.135172409999999</v>
      </c>
      <c r="X397">
        <v>89.99</v>
      </c>
      <c r="Y397">
        <v>4.0999999999999996</v>
      </c>
      <c r="Z397">
        <v>12.11882353</v>
      </c>
      <c r="AA397">
        <v>59.256666670000001</v>
      </c>
      <c r="AB397">
        <v>3.9</v>
      </c>
      <c r="AC397">
        <v>17.998000000000001</v>
      </c>
      <c r="AD397">
        <v>58.799523809999997</v>
      </c>
      <c r="AE397">
        <f>Table1[[#This Row],[total_price]]/Table1[[#This Row],[qty]]</f>
        <v>59.256666666666668</v>
      </c>
      <c r="AF397">
        <f t="shared" si="6"/>
        <v>58.799523809523805</v>
      </c>
      <c r="AG397">
        <f>IF(ROW()=2, "", AVERAGE(D$2:D396))</f>
        <v>14.572151898734177</v>
      </c>
    </row>
    <row r="398" spans="1:33" x14ac:dyDescent="0.25">
      <c r="A398" t="s">
        <v>70</v>
      </c>
      <c r="B398" t="s">
        <v>38</v>
      </c>
      <c r="C398" s="1">
        <v>42743</v>
      </c>
      <c r="D398">
        <v>22</v>
      </c>
      <c r="E398">
        <v>1297.78</v>
      </c>
      <c r="F398">
        <v>16.240909089999999</v>
      </c>
      <c r="G398">
        <v>58.99</v>
      </c>
      <c r="H398">
        <v>59</v>
      </c>
      <c r="I398">
        <v>492</v>
      </c>
      <c r="J398">
        <v>2</v>
      </c>
      <c r="K398">
        <v>200</v>
      </c>
      <c r="L398">
        <v>3.9</v>
      </c>
      <c r="M398">
        <v>82</v>
      </c>
      <c r="N398">
        <v>23</v>
      </c>
      <c r="O398">
        <v>8</v>
      </c>
      <c r="P398">
        <v>1</v>
      </c>
      <c r="Q398">
        <v>8</v>
      </c>
      <c r="R398">
        <v>2017</v>
      </c>
      <c r="S398">
        <v>8.9642857140000007</v>
      </c>
      <c r="T398">
        <v>3960</v>
      </c>
      <c r="U398">
        <v>23.39740741</v>
      </c>
      <c r="V398">
        <v>4.3</v>
      </c>
      <c r="W398">
        <v>14.27678571</v>
      </c>
      <c r="X398">
        <v>89.99</v>
      </c>
      <c r="Y398">
        <v>4.0999999999999996</v>
      </c>
      <c r="Z398">
        <v>13.410555560000001</v>
      </c>
      <c r="AA398">
        <v>58.99</v>
      </c>
      <c r="AB398">
        <v>3.9</v>
      </c>
      <c r="AC398">
        <v>16.240909089999999</v>
      </c>
      <c r="AD398">
        <v>59.256666670000001</v>
      </c>
      <c r="AE398">
        <f>Table1[[#This Row],[total_price]]/Table1[[#This Row],[qty]]</f>
        <v>58.99</v>
      </c>
      <c r="AF398">
        <f t="shared" si="6"/>
        <v>59.256666666666668</v>
      </c>
      <c r="AG398">
        <f>IF(ROW()=2, "", AVERAGE(D$2:D397))</f>
        <v>14.573232323232324</v>
      </c>
    </row>
    <row r="399" spans="1:33" x14ac:dyDescent="0.25">
      <c r="A399" t="s">
        <v>70</v>
      </c>
      <c r="B399" t="s">
        <v>38</v>
      </c>
      <c r="C399" s="1">
        <v>42744</v>
      </c>
      <c r="D399">
        <v>25</v>
      </c>
      <c r="E399">
        <v>1474.75</v>
      </c>
      <c r="F399">
        <v>15.639200000000001</v>
      </c>
      <c r="G399">
        <v>58.99</v>
      </c>
      <c r="H399">
        <v>59</v>
      </c>
      <c r="I399">
        <v>492</v>
      </c>
      <c r="J399">
        <v>2</v>
      </c>
      <c r="K399">
        <v>200</v>
      </c>
      <c r="L399">
        <v>3.9</v>
      </c>
      <c r="M399">
        <v>89</v>
      </c>
      <c r="N399">
        <v>21</v>
      </c>
      <c r="O399">
        <v>9</v>
      </c>
      <c r="P399">
        <v>1</v>
      </c>
      <c r="Q399">
        <v>9</v>
      </c>
      <c r="R399">
        <v>2017</v>
      </c>
      <c r="S399">
        <v>14.28571429</v>
      </c>
      <c r="T399">
        <v>3960</v>
      </c>
      <c r="U399">
        <v>23.99</v>
      </c>
      <c r="V399">
        <v>4.3</v>
      </c>
      <c r="W399">
        <v>16.12</v>
      </c>
      <c r="X399">
        <v>89.99</v>
      </c>
      <c r="Y399">
        <v>4.0999999999999996</v>
      </c>
      <c r="Z399">
        <v>13.96428571</v>
      </c>
      <c r="AA399">
        <v>58.99</v>
      </c>
      <c r="AB399">
        <v>3.9</v>
      </c>
      <c r="AC399">
        <v>15.639200000000001</v>
      </c>
      <c r="AD399">
        <v>58.99</v>
      </c>
      <c r="AE399">
        <f>Table1[[#This Row],[total_price]]/Table1[[#This Row],[qty]]</f>
        <v>58.99</v>
      </c>
      <c r="AF399">
        <f t="shared" si="6"/>
        <v>58.99</v>
      </c>
      <c r="AG399">
        <f>IF(ROW()=2, "", AVERAGE(D$2:D398))</f>
        <v>14.591939546599496</v>
      </c>
    </row>
    <row r="400" spans="1:33" x14ac:dyDescent="0.25">
      <c r="A400" t="s">
        <v>70</v>
      </c>
      <c r="B400" t="s">
        <v>38</v>
      </c>
      <c r="C400" s="1">
        <v>42745</v>
      </c>
      <c r="D400">
        <v>19</v>
      </c>
      <c r="E400">
        <v>1120.81</v>
      </c>
      <c r="F400">
        <v>19.065263160000001</v>
      </c>
      <c r="G400">
        <v>58.99</v>
      </c>
      <c r="H400">
        <v>59</v>
      </c>
      <c r="I400">
        <v>492</v>
      </c>
      <c r="J400">
        <v>2</v>
      </c>
      <c r="K400">
        <v>200</v>
      </c>
      <c r="L400">
        <v>3.9</v>
      </c>
      <c r="M400">
        <v>81</v>
      </c>
      <c r="N400">
        <v>22</v>
      </c>
      <c r="O400">
        <v>9</v>
      </c>
      <c r="P400">
        <v>2</v>
      </c>
      <c r="Q400">
        <v>10</v>
      </c>
      <c r="R400">
        <v>2017</v>
      </c>
      <c r="S400">
        <v>10.85714286</v>
      </c>
      <c r="T400">
        <v>3960</v>
      </c>
      <c r="U400">
        <v>23.99</v>
      </c>
      <c r="V400">
        <v>4.3</v>
      </c>
      <c r="W400">
        <v>13.13666667</v>
      </c>
      <c r="X400">
        <v>89.99</v>
      </c>
      <c r="Y400">
        <v>4.0999999999999996</v>
      </c>
      <c r="Z400">
        <v>16.56291667</v>
      </c>
      <c r="AA400">
        <v>58.99</v>
      </c>
      <c r="AB400">
        <v>3.9</v>
      </c>
      <c r="AC400">
        <v>19.065263160000001</v>
      </c>
      <c r="AD400">
        <v>58.99</v>
      </c>
      <c r="AE400">
        <f>Table1[[#This Row],[total_price]]/Table1[[#This Row],[qty]]</f>
        <v>58.989999999999995</v>
      </c>
      <c r="AF400">
        <f t="shared" si="6"/>
        <v>58.99</v>
      </c>
      <c r="AG400">
        <f>IF(ROW()=2, "", AVERAGE(D$2:D399))</f>
        <v>14.618090452261306</v>
      </c>
    </row>
    <row r="401" spans="1:33" x14ac:dyDescent="0.25">
      <c r="A401" t="s">
        <v>70</v>
      </c>
      <c r="B401" t="s">
        <v>38</v>
      </c>
      <c r="C401" s="1">
        <v>42746</v>
      </c>
      <c r="D401">
        <v>24</v>
      </c>
      <c r="E401">
        <v>1415.76</v>
      </c>
      <c r="F401">
        <v>15.71166667</v>
      </c>
      <c r="G401">
        <v>58.99</v>
      </c>
      <c r="H401">
        <v>59</v>
      </c>
      <c r="I401">
        <v>492</v>
      </c>
      <c r="J401">
        <v>2</v>
      </c>
      <c r="K401">
        <v>200</v>
      </c>
      <c r="L401">
        <v>3.9</v>
      </c>
      <c r="M401">
        <v>139</v>
      </c>
      <c r="N401">
        <v>22</v>
      </c>
      <c r="O401">
        <v>8</v>
      </c>
      <c r="P401">
        <v>4</v>
      </c>
      <c r="Q401">
        <v>11</v>
      </c>
      <c r="R401">
        <v>2017</v>
      </c>
      <c r="S401">
        <v>13.71428571</v>
      </c>
      <c r="T401">
        <v>3960</v>
      </c>
      <c r="U401">
        <v>23.99</v>
      </c>
      <c r="V401">
        <v>4.3</v>
      </c>
      <c r="W401">
        <v>12.37535714</v>
      </c>
      <c r="X401">
        <v>89.99</v>
      </c>
      <c r="Y401">
        <v>4.0999999999999996</v>
      </c>
      <c r="Z401">
        <v>16.99038462</v>
      </c>
      <c r="AA401">
        <v>58.99</v>
      </c>
      <c r="AB401">
        <v>3.9</v>
      </c>
      <c r="AC401">
        <v>15.71166667</v>
      </c>
      <c r="AD401">
        <v>58.99</v>
      </c>
      <c r="AE401">
        <f>Table1[[#This Row],[total_price]]/Table1[[#This Row],[qty]]</f>
        <v>58.99</v>
      </c>
      <c r="AF401">
        <f t="shared" si="6"/>
        <v>58.989999999999995</v>
      </c>
      <c r="AG401">
        <f>IF(ROW()=2, "", AVERAGE(D$2:D400))</f>
        <v>14.62907268170426</v>
      </c>
    </row>
    <row r="402" spans="1:33" x14ac:dyDescent="0.25">
      <c r="A402" t="s">
        <v>70</v>
      </c>
      <c r="B402" t="s">
        <v>38</v>
      </c>
      <c r="C402" s="1">
        <v>42747</v>
      </c>
      <c r="D402">
        <v>9</v>
      </c>
      <c r="E402">
        <v>530.91</v>
      </c>
      <c r="F402">
        <v>16.332222219999998</v>
      </c>
      <c r="G402">
        <v>58.99</v>
      </c>
      <c r="H402">
        <v>59</v>
      </c>
      <c r="I402">
        <v>492</v>
      </c>
      <c r="J402">
        <v>2</v>
      </c>
      <c r="K402">
        <v>200</v>
      </c>
      <c r="L402">
        <v>3.9</v>
      </c>
      <c r="M402">
        <v>112</v>
      </c>
      <c r="N402">
        <v>21</v>
      </c>
      <c r="O402">
        <v>10</v>
      </c>
      <c r="P402">
        <v>1</v>
      </c>
      <c r="Q402">
        <v>12</v>
      </c>
      <c r="R402">
        <v>2017</v>
      </c>
      <c r="S402">
        <v>5.1428571429999996</v>
      </c>
      <c r="T402">
        <v>3960</v>
      </c>
      <c r="U402">
        <v>23.99</v>
      </c>
      <c r="V402">
        <v>4.3</v>
      </c>
      <c r="W402">
        <v>12.45684211</v>
      </c>
      <c r="X402">
        <v>89.99</v>
      </c>
      <c r="Y402">
        <v>4.0999999999999996</v>
      </c>
      <c r="Z402">
        <v>15.89473684</v>
      </c>
      <c r="AA402">
        <v>58.99</v>
      </c>
      <c r="AB402">
        <v>3.9</v>
      </c>
      <c r="AC402">
        <v>16.332222219999998</v>
      </c>
      <c r="AD402">
        <v>58.99</v>
      </c>
      <c r="AE402">
        <f>Table1[[#This Row],[total_price]]/Table1[[#This Row],[qty]]</f>
        <v>58.989999999999995</v>
      </c>
      <c r="AF402">
        <f t="shared" si="6"/>
        <v>58.99</v>
      </c>
      <c r="AG402">
        <f>IF(ROW()=2, "", AVERAGE(D$2:D401))</f>
        <v>14.6525</v>
      </c>
    </row>
    <row r="403" spans="1:33" x14ac:dyDescent="0.25">
      <c r="A403" t="s">
        <v>70</v>
      </c>
      <c r="B403" t="s">
        <v>38</v>
      </c>
      <c r="C403" s="1">
        <v>43101</v>
      </c>
      <c r="D403">
        <v>6</v>
      </c>
      <c r="E403">
        <v>353.94</v>
      </c>
      <c r="F403">
        <v>22.678333330000001</v>
      </c>
      <c r="G403">
        <v>58.99</v>
      </c>
      <c r="H403">
        <v>59</v>
      </c>
      <c r="I403">
        <v>492</v>
      </c>
      <c r="J403">
        <v>2</v>
      </c>
      <c r="K403">
        <v>200</v>
      </c>
      <c r="L403">
        <v>3.9</v>
      </c>
      <c r="M403">
        <v>98</v>
      </c>
      <c r="N403">
        <v>23</v>
      </c>
      <c r="O403">
        <v>8</v>
      </c>
      <c r="P403">
        <v>2</v>
      </c>
      <c r="Q403">
        <v>1</v>
      </c>
      <c r="R403">
        <v>2018</v>
      </c>
      <c r="S403">
        <v>5.6428571429999996</v>
      </c>
      <c r="T403">
        <v>3960</v>
      </c>
      <c r="U403">
        <v>23.99</v>
      </c>
      <c r="V403">
        <v>4.3</v>
      </c>
      <c r="W403">
        <v>11.28736842</v>
      </c>
      <c r="X403">
        <v>89.99</v>
      </c>
      <c r="Y403">
        <v>4.0999999999999996</v>
      </c>
      <c r="Z403">
        <v>14.811</v>
      </c>
      <c r="AA403">
        <v>58.99</v>
      </c>
      <c r="AB403">
        <v>3.9</v>
      </c>
      <c r="AC403">
        <v>22.678333330000001</v>
      </c>
      <c r="AD403">
        <v>58.99</v>
      </c>
      <c r="AE403">
        <f>Table1[[#This Row],[total_price]]/Table1[[#This Row],[qty]]</f>
        <v>58.99</v>
      </c>
      <c r="AF403">
        <f t="shared" si="6"/>
        <v>58.989999999999995</v>
      </c>
      <c r="AG403">
        <f>IF(ROW()=2, "", AVERAGE(D$2:D402))</f>
        <v>14.638403990024937</v>
      </c>
    </row>
    <row r="404" spans="1:33" x14ac:dyDescent="0.25">
      <c r="A404" t="s">
        <v>70</v>
      </c>
      <c r="B404" t="s">
        <v>38</v>
      </c>
      <c r="C404" s="1">
        <v>43102</v>
      </c>
      <c r="D404">
        <v>14</v>
      </c>
      <c r="E404">
        <v>825.86</v>
      </c>
      <c r="F404">
        <v>19.574999999999999</v>
      </c>
      <c r="G404">
        <v>58.99</v>
      </c>
      <c r="H404">
        <v>59</v>
      </c>
      <c r="I404">
        <v>492</v>
      </c>
      <c r="J404">
        <v>2</v>
      </c>
      <c r="K404">
        <v>200</v>
      </c>
      <c r="L404">
        <v>3.9</v>
      </c>
      <c r="M404">
        <v>126</v>
      </c>
      <c r="N404">
        <v>20</v>
      </c>
      <c r="O404">
        <v>8</v>
      </c>
      <c r="P404">
        <v>2</v>
      </c>
      <c r="Q404">
        <v>2</v>
      </c>
      <c r="R404">
        <v>2018</v>
      </c>
      <c r="S404">
        <v>13.92857143</v>
      </c>
      <c r="T404">
        <v>3960</v>
      </c>
      <c r="U404">
        <v>23.99</v>
      </c>
      <c r="V404">
        <v>4.3</v>
      </c>
      <c r="W404">
        <v>12.55</v>
      </c>
      <c r="X404">
        <v>89.99</v>
      </c>
      <c r="Y404">
        <v>4.0999999999999996</v>
      </c>
      <c r="Z404">
        <v>16.307647060000001</v>
      </c>
      <c r="AA404">
        <v>58.99</v>
      </c>
      <c r="AB404">
        <v>3.9</v>
      </c>
      <c r="AC404">
        <v>19.574999999999999</v>
      </c>
      <c r="AD404">
        <v>58.99</v>
      </c>
      <c r="AE404">
        <f>Table1[[#This Row],[total_price]]/Table1[[#This Row],[qty]]</f>
        <v>58.99</v>
      </c>
      <c r="AF404">
        <f t="shared" si="6"/>
        <v>58.99</v>
      </c>
      <c r="AG404">
        <f>IF(ROW()=2, "", AVERAGE(D$2:D403))</f>
        <v>14.616915422885572</v>
      </c>
    </row>
    <row r="405" spans="1:33" x14ac:dyDescent="0.25">
      <c r="A405" t="s">
        <v>70</v>
      </c>
      <c r="B405" t="s">
        <v>38</v>
      </c>
      <c r="C405" s="1">
        <v>43103</v>
      </c>
      <c r="D405">
        <v>10</v>
      </c>
      <c r="E405">
        <v>589.9</v>
      </c>
      <c r="F405">
        <v>15.228</v>
      </c>
      <c r="G405">
        <v>58.99</v>
      </c>
      <c r="H405">
        <v>59</v>
      </c>
      <c r="I405">
        <v>492</v>
      </c>
      <c r="J405">
        <v>2</v>
      </c>
      <c r="K405">
        <v>200</v>
      </c>
      <c r="L405">
        <v>3.9</v>
      </c>
      <c r="M405">
        <v>169</v>
      </c>
      <c r="N405">
        <v>22</v>
      </c>
      <c r="O405">
        <v>9</v>
      </c>
      <c r="P405">
        <v>1</v>
      </c>
      <c r="Q405">
        <v>3</v>
      </c>
      <c r="R405">
        <v>2018</v>
      </c>
      <c r="S405">
        <v>11.5</v>
      </c>
      <c r="T405">
        <v>3960</v>
      </c>
      <c r="U405">
        <v>23.99</v>
      </c>
      <c r="V405">
        <v>4.3</v>
      </c>
      <c r="W405">
        <v>14.19875</v>
      </c>
      <c r="X405">
        <v>83.74</v>
      </c>
      <c r="Y405">
        <v>4.0999999999999996</v>
      </c>
      <c r="Z405">
        <v>11.876875</v>
      </c>
      <c r="AA405">
        <v>58.99</v>
      </c>
      <c r="AB405">
        <v>3.9</v>
      </c>
      <c r="AC405">
        <v>15.228</v>
      </c>
      <c r="AD405">
        <v>58.99</v>
      </c>
      <c r="AE405">
        <f>Table1[[#This Row],[total_price]]/Table1[[#This Row],[qty]]</f>
        <v>58.989999999999995</v>
      </c>
      <c r="AF405">
        <f t="shared" si="6"/>
        <v>58.99</v>
      </c>
      <c r="AG405">
        <f>IF(ROW()=2, "", AVERAGE(D$2:D404))</f>
        <v>14.615384615384615</v>
      </c>
    </row>
    <row r="406" spans="1:33" x14ac:dyDescent="0.25">
      <c r="A406" t="s">
        <v>70</v>
      </c>
      <c r="B406" t="s">
        <v>38</v>
      </c>
      <c r="C406" s="1">
        <v>43104</v>
      </c>
      <c r="D406">
        <v>11</v>
      </c>
      <c r="E406">
        <v>648.89</v>
      </c>
      <c r="F406">
        <v>16.302727269999998</v>
      </c>
      <c r="G406">
        <v>58.99</v>
      </c>
      <c r="H406">
        <v>59</v>
      </c>
      <c r="I406">
        <v>492</v>
      </c>
      <c r="J406">
        <v>2</v>
      </c>
      <c r="K406">
        <v>200</v>
      </c>
      <c r="L406">
        <v>3.9</v>
      </c>
      <c r="M406">
        <v>118</v>
      </c>
      <c r="N406">
        <v>21</v>
      </c>
      <c r="O406">
        <v>9</v>
      </c>
      <c r="P406">
        <v>1</v>
      </c>
      <c r="Q406">
        <v>4</v>
      </c>
      <c r="R406">
        <v>2018</v>
      </c>
      <c r="S406">
        <v>12.39285714</v>
      </c>
      <c r="T406">
        <v>3960</v>
      </c>
      <c r="U406">
        <v>58.99</v>
      </c>
      <c r="V406">
        <v>3.9</v>
      </c>
      <c r="W406">
        <v>16.302727269999998</v>
      </c>
      <c r="X406">
        <v>79.989999999999995</v>
      </c>
      <c r="Y406">
        <v>4.0999999999999996</v>
      </c>
      <c r="Z406">
        <v>14.484999999999999</v>
      </c>
      <c r="AA406">
        <v>58.99</v>
      </c>
      <c r="AB406">
        <v>3.9</v>
      </c>
      <c r="AC406">
        <v>16.302727269999998</v>
      </c>
      <c r="AD406">
        <v>58.99</v>
      </c>
      <c r="AE406">
        <f>Table1[[#This Row],[total_price]]/Table1[[#This Row],[qty]]</f>
        <v>58.99</v>
      </c>
      <c r="AF406">
        <f t="shared" si="6"/>
        <v>58.989999999999995</v>
      </c>
      <c r="AG406">
        <f>IF(ROW()=2, "", AVERAGE(D$2:D405))</f>
        <v>14.603960396039604</v>
      </c>
    </row>
    <row r="407" spans="1:33" x14ac:dyDescent="0.25">
      <c r="A407" t="s">
        <v>70</v>
      </c>
      <c r="B407" t="s">
        <v>38</v>
      </c>
      <c r="C407" s="1">
        <v>43105</v>
      </c>
      <c r="D407">
        <v>4</v>
      </c>
      <c r="E407">
        <v>235.96</v>
      </c>
      <c r="F407">
        <v>9.4224999999999994</v>
      </c>
      <c r="G407">
        <v>58.99</v>
      </c>
      <c r="H407">
        <v>59</v>
      </c>
      <c r="I407">
        <v>492</v>
      </c>
      <c r="J407">
        <v>2</v>
      </c>
      <c r="K407">
        <v>200</v>
      </c>
      <c r="L407">
        <v>3.9</v>
      </c>
      <c r="M407">
        <v>159</v>
      </c>
      <c r="N407">
        <v>23</v>
      </c>
      <c r="O407">
        <v>8</v>
      </c>
      <c r="P407">
        <v>3</v>
      </c>
      <c r="Q407">
        <v>5</v>
      </c>
      <c r="R407">
        <v>2018</v>
      </c>
      <c r="S407">
        <v>8.1428571430000005</v>
      </c>
      <c r="T407">
        <v>3960</v>
      </c>
      <c r="U407">
        <v>23.99</v>
      </c>
      <c r="V407">
        <v>4.3</v>
      </c>
      <c r="W407">
        <v>7.9885714290000003</v>
      </c>
      <c r="X407">
        <v>79.989999999999995</v>
      </c>
      <c r="Y407">
        <v>4.0999999999999996</v>
      </c>
      <c r="Z407">
        <v>21.943124999999998</v>
      </c>
      <c r="AA407">
        <v>58.99</v>
      </c>
      <c r="AB407">
        <v>3.9</v>
      </c>
      <c r="AC407">
        <v>9.4224999999999994</v>
      </c>
      <c r="AD407">
        <v>58.99</v>
      </c>
      <c r="AE407">
        <f>Table1[[#This Row],[total_price]]/Table1[[#This Row],[qty]]</f>
        <v>58.99</v>
      </c>
      <c r="AF407">
        <f t="shared" si="6"/>
        <v>58.99</v>
      </c>
      <c r="AG407">
        <f>IF(ROW()=2, "", AVERAGE(D$2:D406))</f>
        <v>14.595061728395061</v>
      </c>
    </row>
    <row r="408" spans="1:33" x14ac:dyDescent="0.25">
      <c r="A408" t="s">
        <v>70</v>
      </c>
      <c r="B408" t="s">
        <v>38</v>
      </c>
      <c r="C408" s="1">
        <v>43106</v>
      </c>
      <c r="D408">
        <v>6</v>
      </c>
      <c r="E408">
        <v>353.94</v>
      </c>
      <c r="F408">
        <v>16.43</v>
      </c>
      <c r="G408">
        <v>58.99</v>
      </c>
      <c r="H408">
        <v>59</v>
      </c>
      <c r="I408">
        <v>492</v>
      </c>
      <c r="J408">
        <v>2</v>
      </c>
      <c r="K408">
        <v>200</v>
      </c>
      <c r="L408">
        <v>3.9</v>
      </c>
      <c r="M408">
        <v>131</v>
      </c>
      <c r="N408">
        <v>21</v>
      </c>
      <c r="O408">
        <v>9</v>
      </c>
      <c r="P408">
        <v>0</v>
      </c>
      <c r="Q408">
        <v>6</v>
      </c>
      <c r="R408">
        <v>2018</v>
      </c>
      <c r="S408">
        <v>11.35714286</v>
      </c>
      <c r="T408">
        <v>3960</v>
      </c>
      <c r="U408">
        <v>23.99</v>
      </c>
      <c r="V408">
        <v>4.3</v>
      </c>
      <c r="W408">
        <v>16.27</v>
      </c>
      <c r="X408">
        <v>79.989999999999995</v>
      </c>
      <c r="Y408">
        <v>4.0999999999999996</v>
      </c>
      <c r="Z408">
        <v>13.36230769</v>
      </c>
      <c r="AA408">
        <v>58.99</v>
      </c>
      <c r="AB408">
        <v>3.9</v>
      </c>
      <c r="AC408">
        <v>16.43</v>
      </c>
      <c r="AD408">
        <v>58.99</v>
      </c>
      <c r="AE408">
        <f>Table1[[#This Row],[total_price]]/Table1[[#This Row],[qty]]</f>
        <v>58.99</v>
      </c>
      <c r="AF408">
        <f t="shared" si="6"/>
        <v>58.99</v>
      </c>
      <c r="AG408">
        <f>IF(ROW()=2, "", AVERAGE(D$2:D407))</f>
        <v>14.568965517241379</v>
      </c>
    </row>
    <row r="409" spans="1:33" x14ac:dyDescent="0.25">
      <c r="A409" t="s">
        <v>70</v>
      </c>
      <c r="B409" t="s">
        <v>38</v>
      </c>
      <c r="C409" s="1">
        <v>43107</v>
      </c>
      <c r="D409">
        <v>2</v>
      </c>
      <c r="E409">
        <v>117.98</v>
      </c>
      <c r="F409">
        <v>7.67</v>
      </c>
      <c r="G409">
        <v>58.99</v>
      </c>
      <c r="H409">
        <v>59</v>
      </c>
      <c r="I409">
        <v>492</v>
      </c>
      <c r="J409">
        <v>2</v>
      </c>
      <c r="K409">
        <v>200</v>
      </c>
      <c r="L409">
        <v>3.9</v>
      </c>
      <c r="M409">
        <v>113</v>
      </c>
      <c r="N409">
        <v>22</v>
      </c>
      <c r="O409">
        <v>9</v>
      </c>
      <c r="P409">
        <v>1</v>
      </c>
      <c r="Q409">
        <v>7</v>
      </c>
      <c r="R409">
        <v>2018</v>
      </c>
      <c r="S409">
        <v>6.0714285710000002</v>
      </c>
      <c r="T409">
        <v>3960</v>
      </c>
      <c r="U409">
        <v>23.99</v>
      </c>
      <c r="V409">
        <v>4.3</v>
      </c>
      <c r="W409">
        <v>18.809999999999999</v>
      </c>
      <c r="X409">
        <v>79.989999999999995</v>
      </c>
      <c r="Y409">
        <v>4.0999999999999996</v>
      </c>
      <c r="Z409">
        <v>16.745000000000001</v>
      </c>
      <c r="AA409">
        <v>58.99</v>
      </c>
      <c r="AB409">
        <v>3.9</v>
      </c>
      <c r="AC409">
        <v>7.67</v>
      </c>
      <c r="AD409">
        <v>58.99</v>
      </c>
      <c r="AE409">
        <f>Table1[[#This Row],[total_price]]/Table1[[#This Row],[qty]]</f>
        <v>58.99</v>
      </c>
      <c r="AF409">
        <f t="shared" si="6"/>
        <v>58.99</v>
      </c>
      <c r="AG409">
        <f>IF(ROW()=2, "", AVERAGE(D$2:D408))</f>
        <v>14.547911547911548</v>
      </c>
    </row>
    <row r="410" spans="1:33" x14ac:dyDescent="0.25">
      <c r="A410" t="s">
        <v>70</v>
      </c>
      <c r="B410" t="s">
        <v>38</v>
      </c>
      <c r="C410" s="1">
        <v>43108</v>
      </c>
      <c r="D410">
        <v>3</v>
      </c>
      <c r="E410">
        <v>176.97</v>
      </c>
      <c r="F410">
        <v>12.08333333</v>
      </c>
      <c r="G410">
        <v>58.99</v>
      </c>
      <c r="H410">
        <v>59</v>
      </c>
      <c r="I410">
        <v>492</v>
      </c>
      <c r="J410">
        <v>2</v>
      </c>
      <c r="K410">
        <v>200</v>
      </c>
      <c r="L410">
        <v>3.9</v>
      </c>
      <c r="M410">
        <v>127</v>
      </c>
      <c r="N410">
        <v>23</v>
      </c>
      <c r="O410">
        <v>8</v>
      </c>
      <c r="P410">
        <v>1</v>
      </c>
      <c r="Q410">
        <v>8</v>
      </c>
      <c r="R410">
        <v>2018</v>
      </c>
      <c r="S410">
        <v>8.9642857140000007</v>
      </c>
      <c r="T410">
        <v>3960</v>
      </c>
      <c r="U410">
        <v>23.99</v>
      </c>
      <c r="V410">
        <v>4.3</v>
      </c>
      <c r="W410">
        <v>16.77</v>
      </c>
      <c r="X410">
        <v>82.821428569999995</v>
      </c>
      <c r="Y410">
        <v>4.0999999999999996</v>
      </c>
      <c r="Z410">
        <v>12.41857143</v>
      </c>
      <c r="AA410">
        <v>58.99</v>
      </c>
      <c r="AB410">
        <v>3.9</v>
      </c>
      <c r="AC410">
        <v>12.08333333</v>
      </c>
      <c r="AD410">
        <v>58.99</v>
      </c>
      <c r="AE410">
        <f>Table1[[#This Row],[total_price]]/Table1[[#This Row],[qty]]</f>
        <v>58.99</v>
      </c>
      <c r="AF410">
        <f t="shared" si="6"/>
        <v>58.99</v>
      </c>
      <c r="AG410">
        <f>IF(ROW()=2, "", AVERAGE(D$2:D409))</f>
        <v>14.517156862745098</v>
      </c>
    </row>
    <row r="411" spans="1:33" x14ac:dyDescent="0.25">
      <c r="A411" t="s">
        <v>71</v>
      </c>
      <c r="B411" t="s">
        <v>31</v>
      </c>
      <c r="C411" s="1">
        <v>42745</v>
      </c>
      <c r="D411">
        <v>8</v>
      </c>
      <c r="E411">
        <v>792</v>
      </c>
      <c r="F411">
        <v>16.353750000000002</v>
      </c>
      <c r="G411">
        <v>99</v>
      </c>
      <c r="H411">
        <v>55</v>
      </c>
      <c r="I411">
        <v>312</v>
      </c>
      <c r="J411">
        <v>1</v>
      </c>
      <c r="K411">
        <v>1550</v>
      </c>
      <c r="L411">
        <v>3.3</v>
      </c>
      <c r="M411">
        <v>50</v>
      </c>
      <c r="N411">
        <v>22</v>
      </c>
      <c r="O411">
        <v>9</v>
      </c>
      <c r="P411">
        <v>2</v>
      </c>
      <c r="Q411">
        <v>10</v>
      </c>
      <c r="R411">
        <v>2017</v>
      </c>
      <c r="S411">
        <v>21.621621619999999</v>
      </c>
      <c r="T411">
        <v>20944</v>
      </c>
      <c r="U411">
        <v>89.9</v>
      </c>
      <c r="V411">
        <v>3.9</v>
      </c>
      <c r="W411">
        <v>21.57214286</v>
      </c>
      <c r="X411">
        <v>99</v>
      </c>
      <c r="Y411">
        <v>3.3</v>
      </c>
      <c r="Z411">
        <v>16.353750000000002</v>
      </c>
      <c r="AA411">
        <v>45.95</v>
      </c>
      <c r="AB411">
        <v>4</v>
      </c>
      <c r="AC411">
        <v>15.1</v>
      </c>
      <c r="AD411">
        <v>98.95</v>
      </c>
      <c r="AE411">
        <f>Table1[[#This Row],[total_price]]/Table1[[#This Row],[qty]]</f>
        <v>99</v>
      </c>
      <c r="AF411" t="str">
        <f t="shared" si="6"/>
        <v/>
      </c>
      <c r="AG411">
        <f>IF(ROW()=2, "", AVERAGE(D$2:D410))</f>
        <v>14.488997555012224</v>
      </c>
    </row>
    <row r="412" spans="1:33" x14ac:dyDescent="0.25">
      <c r="A412" t="s">
        <v>71</v>
      </c>
      <c r="B412" t="s">
        <v>31</v>
      </c>
      <c r="C412" s="1">
        <v>42746</v>
      </c>
      <c r="D412">
        <v>22</v>
      </c>
      <c r="E412">
        <v>2178</v>
      </c>
      <c r="F412">
        <v>18.796363639999999</v>
      </c>
      <c r="G412">
        <v>99</v>
      </c>
      <c r="H412">
        <v>55</v>
      </c>
      <c r="I412">
        <v>312</v>
      </c>
      <c r="J412">
        <v>1</v>
      </c>
      <c r="K412">
        <v>1550</v>
      </c>
      <c r="L412">
        <v>3.3</v>
      </c>
      <c r="M412">
        <v>97</v>
      </c>
      <c r="N412">
        <v>22</v>
      </c>
      <c r="O412">
        <v>8</v>
      </c>
      <c r="P412">
        <v>4</v>
      </c>
      <c r="Q412">
        <v>11</v>
      </c>
      <c r="R412">
        <v>2017</v>
      </c>
      <c r="S412">
        <v>59.459459459999998</v>
      </c>
      <c r="T412">
        <v>20944</v>
      </c>
      <c r="U412">
        <v>89.9</v>
      </c>
      <c r="V412">
        <v>3.9</v>
      </c>
      <c r="W412">
        <v>16.294</v>
      </c>
      <c r="X412">
        <v>99</v>
      </c>
      <c r="Y412">
        <v>3.3</v>
      </c>
      <c r="Z412">
        <v>18.796363639999999</v>
      </c>
      <c r="AA412">
        <v>40.531818180000002</v>
      </c>
      <c r="AB412">
        <v>4</v>
      </c>
      <c r="AC412">
        <v>15.832727269999999</v>
      </c>
      <c r="AD412">
        <v>99</v>
      </c>
      <c r="AE412">
        <f>Table1[[#This Row],[total_price]]/Table1[[#This Row],[qty]]</f>
        <v>99</v>
      </c>
      <c r="AF412">
        <f t="shared" si="6"/>
        <v>99</v>
      </c>
      <c r="AG412">
        <f>IF(ROW()=2, "", AVERAGE(D$2:D411))</f>
        <v>14.473170731707317</v>
      </c>
    </row>
    <row r="413" spans="1:33" x14ac:dyDescent="0.25">
      <c r="A413" t="s">
        <v>71</v>
      </c>
      <c r="B413" t="s">
        <v>31</v>
      </c>
      <c r="C413" s="1">
        <v>42747</v>
      </c>
      <c r="D413">
        <v>7</v>
      </c>
      <c r="E413">
        <v>693</v>
      </c>
      <c r="F413">
        <v>18.66285714</v>
      </c>
      <c r="G413">
        <v>99</v>
      </c>
      <c r="H413">
        <v>55</v>
      </c>
      <c r="I413">
        <v>312</v>
      </c>
      <c r="J413">
        <v>1</v>
      </c>
      <c r="K413">
        <v>1550</v>
      </c>
      <c r="L413">
        <v>3.3</v>
      </c>
      <c r="M413">
        <v>41</v>
      </c>
      <c r="N413">
        <v>21</v>
      </c>
      <c r="O413">
        <v>10</v>
      </c>
      <c r="P413">
        <v>1</v>
      </c>
      <c r="Q413">
        <v>12</v>
      </c>
      <c r="R413">
        <v>2017</v>
      </c>
      <c r="S413">
        <v>18.918918919999999</v>
      </c>
      <c r="T413">
        <v>20944</v>
      </c>
      <c r="U413">
        <v>88.488235290000006</v>
      </c>
      <c r="V413">
        <v>3.9</v>
      </c>
      <c r="W413">
        <v>18.89833333</v>
      </c>
      <c r="X413">
        <v>99</v>
      </c>
      <c r="Y413">
        <v>3.3</v>
      </c>
      <c r="Z413">
        <v>18.66285714</v>
      </c>
      <c r="AA413">
        <v>39.99</v>
      </c>
      <c r="AB413">
        <v>4</v>
      </c>
      <c r="AC413">
        <v>15.23</v>
      </c>
      <c r="AD413">
        <v>99</v>
      </c>
      <c r="AE413">
        <f>Table1[[#This Row],[total_price]]/Table1[[#This Row],[qty]]</f>
        <v>99</v>
      </c>
      <c r="AF413">
        <f t="shared" si="6"/>
        <v>99</v>
      </c>
      <c r="AG413">
        <f>IF(ROW()=2, "", AVERAGE(D$2:D412))</f>
        <v>14.491484184914842</v>
      </c>
    </row>
    <row r="414" spans="1:33" x14ac:dyDescent="0.25">
      <c r="A414" t="s">
        <v>71</v>
      </c>
      <c r="B414" t="s">
        <v>31</v>
      </c>
      <c r="C414" s="1">
        <v>43101</v>
      </c>
      <c r="D414">
        <v>11</v>
      </c>
      <c r="E414">
        <v>1082</v>
      </c>
      <c r="F414">
        <v>16.397272730000001</v>
      </c>
      <c r="G414">
        <v>98.3</v>
      </c>
      <c r="H414">
        <v>55</v>
      </c>
      <c r="I414">
        <v>312</v>
      </c>
      <c r="J414">
        <v>1</v>
      </c>
      <c r="K414">
        <v>1550</v>
      </c>
      <c r="L414">
        <v>3.3</v>
      </c>
      <c r="M414">
        <v>62</v>
      </c>
      <c r="N414">
        <v>23</v>
      </c>
      <c r="O414">
        <v>8</v>
      </c>
      <c r="P414">
        <v>2</v>
      </c>
      <c r="Q414">
        <v>1</v>
      </c>
      <c r="R414">
        <v>2018</v>
      </c>
      <c r="S414">
        <v>14.864864860000001</v>
      </c>
      <c r="T414">
        <v>20944</v>
      </c>
      <c r="U414">
        <v>86.9</v>
      </c>
      <c r="V414">
        <v>3.9</v>
      </c>
      <c r="W414">
        <v>19.383529410000001</v>
      </c>
      <c r="X414">
        <v>98.3</v>
      </c>
      <c r="Y414">
        <v>3.3</v>
      </c>
      <c r="Z414">
        <v>16.397272730000001</v>
      </c>
      <c r="AA414">
        <v>39.99</v>
      </c>
      <c r="AB414">
        <v>4</v>
      </c>
      <c r="AC414">
        <v>16.533684210000001</v>
      </c>
      <c r="AD414">
        <v>99</v>
      </c>
      <c r="AE414">
        <f>Table1[[#This Row],[total_price]]/Table1[[#This Row],[qty]]</f>
        <v>98.36363636363636</v>
      </c>
      <c r="AF414">
        <f t="shared" si="6"/>
        <v>99</v>
      </c>
      <c r="AG414">
        <f>IF(ROW()=2, "", AVERAGE(D$2:D413))</f>
        <v>14.473300970873787</v>
      </c>
    </row>
    <row r="415" spans="1:33" x14ac:dyDescent="0.25">
      <c r="A415" t="s">
        <v>71</v>
      </c>
      <c r="B415" t="s">
        <v>31</v>
      </c>
      <c r="C415" s="1">
        <v>43102</v>
      </c>
      <c r="D415">
        <v>13</v>
      </c>
      <c r="E415">
        <v>1196</v>
      </c>
      <c r="F415">
        <v>16.194615379999998</v>
      </c>
      <c r="G415">
        <v>92</v>
      </c>
      <c r="H415">
        <v>55</v>
      </c>
      <c r="I415">
        <v>312</v>
      </c>
      <c r="J415">
        <v>1</v>
      </c>
      <c r="K415">
        <v>1550</v>
      </c>
      <c r="L415">
        <v>3.3</v>
      </c>
      <c r="M415">
        <v>62</v>
      </c>
      <c r="N415">
        <v>20</v>
      </c>
      <c r="O415">
        <v>8</v>
      </c>
      <c r="P415">
        <v>2</v>
      </c>
      <c r="Q415">
        <v>2</v>
      </c>
      <c r="R415">
        <v>2018</v>
      </c>
      <c r="S415">
        <v>17.567567570000001</v>
      </c>
      <c r="T415">
        <v>20944</v>
      </c>
      <c r="U415">
        <v>86.9</v>
      </c>
      <c r="V415">
        <v>3.9</v>
      </c>
      <c r="W415">
        <v>19.20909091</v>
      </c>
      <c r="X415">
        <v>92</v>
      </c>
      <c r="Y415">
        <v>3.3</v>
      </c>
      <c r="Z415">
        <v>16.194615379999998</v>
      </c>
      <c r="AA415">
        <v>39.99</v>
      </c>
      <c r="AB415">
        <v>4</v>
      </c>
      <c r="AC415">
        <v>13.74944444</v>
      </c>
      <c r="AD415">
        <v>98.3</v>
      </c>
      <c r="AE415">
        <f>Table1[[#This Row],[total_price]]/Table1[[#This Row],[qty]]</f>
        <v>92</v>
      </c>
      <c r="AF415">
        <f t="shared" si="6"/>
        <v>98.36363636363636</v>
      </c>
      <c r="AG415">
        <f>IF(ROW()=2, "", AVERAGE(D$2:D414))</f>
        <v>14.464891041162227</v>
      </c>
    </row>
    <row r="416" spans="1:33" x14ac:dyDescent="0.25">
      <c r="A416" t="s">
        <v>71</v>
      </c>
      <c r="B416" t="s">
        <v>31</v>
      </c>
      <c r="C416" s="1">
        <v>43103</v>
      </c>
      <c r="D416">
        <v>3</v>
      </c>
      <c r="E416">
        <v>276</v>
      </c>
      <c r="F416">
        <v>14.043333329999999</v>
      </c>
      <c r="G416">
        <v>92</v>
      </c>
      <c r="H416">
        <v>55</v>
      </c>
      <c r="I416">
        <v>312</v>
      </c>
      <c r="J416">
        <v>1</v>
      </c>
      <c r="K416">
        <v>1550</v>
      </c>
      <c r="L416">
        <v>3.3</v>
      </c>
      <c r="M416">
        <v>43</v>
      </c>
      <c r="N416">
        <v>22</v>
      </c>
      <c r="O416">
        <v>9</v>
      </c>
      <c r="P416">
        <v>1</v>
      </c>
      <c r="Q416">
        <v>3</v>
      </c>
      <c r="R416">
        <v>2018</v>
      </c>
      <c r="S416">
        <v>4.0540540539999999</v>
      </c>
      <c r="T416">
        <v>20944</v>
      </c>
      <c r="U416">
        <v>86.9</v>
      </c>
      <c r="V416">
        <v>3.9</v>
      </c>
      <c r="W416">
        <v>19.982352939999998</v>
      </c>
      <c r="X416">
        <v>92</v>
      </c>
      <c r="Y416">
        <v>3.3</v>
      </c>
      <c r="Z416">
        <v>14.043333329999999</v>
      </c>
      <c r="AA416">
        <v>39.99</v>
      </c>
      <c r="AB416">
        <v>4</v>
      </c>
      <c r="AC416">
        <v>16.462352939999999</v>
      </c>
      <c r="AD416">
        <v>92</v>
      </c>
      <c r="AE416">
        <f>Table1[[#This Row],[total_price]]/Table1[[#This Row],[qty]]</f>
        <v>92</v>
      </c>
      <c r="AF416">
        <f t="shared" si="6"/>
        <v>92</v>
      </c>
      <c r="AG416">
        <f>IF(ROW()=2, "", AVERAGE(D$2:D415))</f>
        <v>14.461352657004831</v>
      </c>
    </row>
    <row r="417" spans="1:33" x14ac:dyDescent="0.25">
      <c r="A417" t="s">
        <v>71</v>
      </c>
      <c r="B417" t="s">
        <v>31</v>
      </c>
      <c r="C417" s="1">
        <v>43104</v>
      </c>
      <c r="D417">
        <v>9</v>
      </c>
      <c r="E417">
        <v>815</v>
      </c>
      <c r="F417">
        <v>17.82222222</v>
      </c>
      <c r="G417">
        <v>90.875</v>
      </c>
      <c r="H417">
        <v>55</v>
      </c>
      <c r="I417">
        <v>312</v>
      </c>
      <c r="J417">
        <v>1</v>
      </c>
      <c r="K417">
        <v>1550</v>
      </c>
      <c r="L417">
        <v>3.3</v>
      </c>
      <c r="M417">
        <v>34</v>
      </c>
      <c r="N417">
        <v>21</v>
      </c>
      <c r="O417">
        <v>9</v>
      </c>
      <c r="P417">
        <v>1</v>
      </c>
      <c r="Q417">
        <v>4</v>
      </c>
      <c r="R417">
        <v>2018</v>
      </c>
      <c r="S417">
        <v>12.162162159999999</v>
      </c>
      <c r="T417">
        <v>20944</v>
      </c>
      <c r="U417">
        <v>85.045000000000002</v>
      </c>
      <c r="V417">
        <v>3.9</v>
      </c>
      <c r="W417">
        <v>12.94</v>
      </c>
      <c r="X417">
        <v>90.875</v>
      </c>
      <c r="Y417">
        <v>3.3</v>
      </c>
      <c r="Z417">
        <v>17.82222222</v>
      </c>
      <c r="AA417">
        <v>39.99</v>
      </c>
      <c r="AB417">
        <v>4</v>
      </c>
      <c r="AC417">
        <v>14.236153850000001</v>
      </c>
      <c r="AD417">
        <v>92</v>
      </c>
      <c r="AE417">
        <f>Table1[[#This Row],[total_price]]/Table1[[#This Row],[qty]]</f>
        <v>90.555555555555557</v>
      </c>
      <c r="AF417">
        <f t="shared" si="6"/>
        <v>92</v>
      </c>
      <c r="AG417">
        <f>IF(ROW()=2, "", AVERAGE(D$2:D416))</f>
        <v>14.433734939759036</v>
      </c>
    </row>
    <row r="418" spans="1:33" x14ac:dyDescent="0.25">
      <c r="A418" t="s">
        <v>71</v>
      </c>
      <c r="B418" t="s">
        <v>31</v>
      </c>
      <c r="C418" s="1">
        <v>43105</v>
      </c>
      <c r="D418">
        <v>14</v>
      </c>
      <c r="E418">
        <v>1235.3599999999999</v>
      </c>
      <c r="F418">
        <v>9.2128571430000008</v>
      </c>
      <c r="G418">
        <v>88.24</v>
      </c>
      <c r="H418">
        <v>55</v>
      </c>
      <c r="I418">
        <v>312</v>
      </c>
      <c r="J418">
        <v>1</v>
      </c>
      <c r="K418">
        <v>1550</v>
      </c>
      <c r="L418">
        <v>3.3</v>
      </c>
      <c r="M418">
        <v>57</v>
      </c>
      <c r="N418">
        <v>23</v>
      </c>
      <c r="O418">
        <v>8</v>
      </c>
      <c r="P418">
        <v>3</v>
      </c>
      <c r="Q418">
        <v>5</v>
      </c>
      <c r="R418">
        <v>2018</v>
      </c>
      <c r="S418">
        <v>18.918918919999999</v>
      </c>
      <c r="T418">
        <v>20944</v>
      </c>
      <c r="U418">
        <v>83.64961538</v>
      </c>
      <c r="V418">
        <v>3.9</v>
      </c>
      <c r="W418">
        <v>16.78038462</v>
      </c>
      <c r="X418">
        <v>88.24</v>
      </c>
      <c r="Y418">
        <v>3.3</v>
      </c>
      <c r="Z418">
        <v>9.2128571430000008</v>
      </c>
      <c r="AA418">
        <v>39.99</v>
      </c>
      <c r="AB418">
        <v>4</v>
      </c>
      <c r="AC418">
        <v>10.25631579</v>
      </c>
      <c r="AD418">
        <v>90.875</v>
      </c>
      <c r="AE418">
        <f>Table1[[#This Row],[total_price]]/Table1[[#This Row],[qty]]</f>
        <v>88.24</v>
      </c>
      <c r="AF418">
        <f t="shared" si="6"/>
        <v>90.555555555555557</v>
      </c>
      <c r="AG418">
        <f>IF(ROW()=2, "", AVERAGE(D$2:D417))</f>
        <v>14.420673076923077</v>
      </c>
    </row>
    <row r="419" spans="1:33" x14ac:dyDescent="0.25">
      <c r="A419" t="s">
        <v>71</v>
      </c>
      <c r="B419" t="s">
        <v>31</v>
      </c>
      <c r="C419" s="1">
        <v>43106</v>
      </c>
      <c r="D419">
        <v>14</v>
      </c>
      <c r="E419">
        <v>1188.5999999999999</v>
      </c>
      <c r="F419">
        <v>17.975000000000001</v>
      </c>
      <c r="G419">
        <v>84.9</v>
      </c>
      <c r="H419">
        <v>55</v>
      </c>
      <c r="I419">
        <v>312</v>
      </c>
      <c r="J419">
        <v>1</v>
      </c>
      <c r="K419">
        <v>1550</v>
      </c>
      <c r="L419">
        <v>3.3</v>
      </c>
      <c r="M419">
        <v>43</v>
      </c>
      <c r="N419">
        <v>21</v>
      </c>
      <c r="O419">
        <v>9</v>
      </c>
      <c r="P419">
        <v>0</v>
      </c>
      <c r="Q419">
        <v>6</v>
      </c>
      <c r="R419">
        <v>2018</v>
      </c>
      <c r="S419">
        <v>18.918918919999999</v>
      </c>
      <c r="T419">
        <v>20944</v>
      </c>
      <c r="U419">
        <v>79.900000000000006</v>
      </c>
      <c r="V419">
        <v>3.9</v>
      </c>
      <c r="W419">
        <v>23.005652170000001</v>
      </c>
      <c r="X419">
        <v>84.9</v>
      </c>
      <c r="Y419">
        <v>3.3</v>
      </c>
      <c r="Z419">
        <v>17.975000000000001</v>
      </c>
      <c r="AA419">
        <v>39.99</v>
      </c>
      <c r="AB419">
        <v>4</v>
      </c>
      <c r="AC419">
        <v>13.997999999999999</v>
      </c>
      <c r="AD419">
        <v>88.24</v>
      </c>
      <c r="AE419">
        <f>Table1[[#This Row],[total_price]]/Table1[[#This Row],[qty]]</f>
        <v>84.899999999999991</v>
      </c>
      <c r="AF419">
        <f t="shared" si="6"/>
        <v>88.24</v>
      </c>
      <c r="AG419">
        <f>IF(ROW()=2, "", AVERAGE(D$2:D418))</f>
        <v>14.419664268585132</v>
      </c>
    </row>
    <row r="420" spans="1:33" x14ac:dyDescent="0.25">
      <c r="A420" t="s">
        <v>71</v>
      </c>
      <c r="B420" t="s">
        <v>31</v>
      </c>
      <c r="C420" s="1">
        <v>43107</v>
      </c>
      <c r="D420">
        <v>9</v>
      </c>
      <c r="E420">
        <v>764.1</v>
      </c>
      <c r="F420">
        <v>22.447777779999999</v>
      </c>
      <c r="G420">
        <v>84.9</v>
      </c>
      <c r="H420">
        <v>55</v>
      </c>
      <c r="I420">
        <v>312</v>
      </c>
      <c r="J420">
        <v>1</v>
      </c>
      <c r="K420">
        <v>1550</v>
      </c>
      <c r="L420">
        <v>3.3</v>
      </c>
      <c r="M420">
        <v>26</v>
      </c>
      <c r="N420">
        <v>22</v>
      </c>
      <c r="O420">
        <v>9</v>
      </c>
      <c r="P420">
        <v>1</v>
      </c>
      <c r="Q420">
        <v>7</v>
      </c>
      <c r="R420">
        <v>2018</v>
      </c>
      <c r="S420">
        <v>12.162162159999999</v>
      </c>
      <c r="T420">
        <v>20944</v>
      </c>
      <c r="U420">
        <v>77.933333329999996</v>
      </c>
      <c r="V420">
        <v>3.9</v>
      </c>
      <c r="W420">
        <v>19.952000000000002</v>
      </c>
      <c r="X420">
        <v>84.9</v>
      </c>
      <c r="Y420">
        <v>3.3</v>
      </c>
      <c r="Z420">
        <v>22.447777779999999</v>
      </c>
      <c r="AA420">
        <v>39.99</v>
      </c>
      <c r="AB420">
        <v>4</v>
      </c>
      <c r="AC420">
        <v>20.4175</v>
      </c>
      <c r="AD420">
        <v>84.9</v>
      </c>
      <c r="AE420">
        <f>Table1[[#This Row],[total_price]]/Table1[[#This Row],[qty]]</f>
        <v>84.9</v>
      </c>
      <c r="AF420">
        <f t="shared" si="6"/>
        <v>84.899999999999991</v>
      </c>
      <c r="AG420">
        <f>IF(ROW()=2, "", AVERAGE(D$2:D419))</f>
        <v>14.418660287081339</v>
      </c>
    </row>
    <row r="421" spans="1:33" x14ac:dyDescent="0.25">
      <c r="A421" t="s">
        <v>71</v>
      </c>
      <c r="B421" t="s">
        <v>31</v>
      </c>
      <c r="C421" s="1">
        <v>43108</v>
      </c>
      <c r="D421">
        <v>1</v>
      </c>
      <c r="E421">
        <v>84.9</v>
      </c>
      <c r="F421">
        <v>4.41</v>
      </c>
      <c r="G421">
        <v>84.9</v>
      </c>
      <c r="H421">
        <v>55</v>
      </c>
      <c r="I421">
        <v>312</v>
      </c>
      <c r="J421">
        <v>1</v>
      </c>
      <c r="K421">
        <v>1550</v>
      </c>
      <c r="L421">
        <v>3.3</v>
      </c>
      <c r="M421">
        <v>15</v>
      </c>
      <c r="N421">
        <v>23</v>
      </c>
      <c r="O421">
        <v>8</v>
      </c>
      <c r="P421">
        <v>1</v>
      </c>
      <c r="Q421">
        <v>8</v>
      </c>
      <c r="R421">
        <v>2018</v>
      </c>
      <c r="S421">
        <v>1.3513513509999999</v>
      </c>
      <c r="T421">
        <v>20944</v>
      </c>
      <c r="U421">
        <v>74</v>
      </c>
      <c r="V421">
        <v>3.9</v>
      </c>
      <c r="W421">
        <v>17.25571429</v>
      </c>
      <c r="X421">
        <v>84.9</v>
      </c>
      <c r="Y421">
        <v>3.3</v>
      </c>
      <c r="Z421">
        <v>4.41</v>
      </c>
      <c r="AA421">
        <v>39.24</v>
      </c>
      <c r="AB421">
        <v>4</v>
      </c>
      <c r="AC421">
        <v>16.333749999999998</v>
      </c>
      <c r="AD421">
        <v>84.9</v>
      </c>
      <c r="AE421">
        <f>Table1[[#This Row],[total_price]]/Table1[[#This Row],[qty]]</f>
        <v>84.9</v>
      </c>
      <c r="AF421">
        <f t="shared" si="6"/>
        <v>84.9</v>
      </c>
      <c r="AG421">
        <f>IF(ROW()=2, "", AVERAGE(D$2:D420))</f>
        <v>14.405727923627685</v>
      </c>
    </row>
    <row r="422" spans="1:33" x14ac:dyDescent="0.25">
      <c r="A422" t="s">
        <v>72</v>
      </c>
      <c r="B422" t="s">
        <v>33</v>
      </c>
      <c r="C422" s="1">
        <v>42737</v>
      </c>
      <c r="D422">
        <v>1</v>
      </c>
      <c r="E422">
        <v>99.99</v>
      </c>
      <c r="F422">
        <v>33</v>
      </c>
      <c r="G422">
        <v>99.99</v>
      </c>
      <c r="H422">
        <v>47</v>
      </c>
      <c r="I422">
        <v>1893</v>
      </c>
      <c r="J422">
        <v>1</v>
      </c>
      <c r="K422">
        <v>6050</v>
      </c>
      <c r="L422">
        <v>4.0999999999999996</v>
      </c>
      <c r="M422">
        <v>3</v>
      </c>
      <c r="N422">
        <v>20</v>
      </c>
      <c r="O422">
        <v>8</v>
      </c>
      <c r="P422">
        <v>2</v>
      </c>
      <c r="Q422">
        <v>2</v>
      </c>
      <c r="R422">
        <v>2017</v>
      </c>
      <c r="S422">
        <v>11.586850650000001</v>
      </c>
      <c r="T422">
        <v>8000</v>
      </c>
      <c r="U422">
        <v>99.99</v>
      </c>
      <c r="V422">
        <v>4.0999999999999996</v>
      </c>
      <c r="W422">
        <v>33</v>
      </c>
      <c r="X422">
        <v>99.99</v>
      </c>
      <c r="Y422">
        <v>4.0999999999999996</v>
      </c>
      <c r="Z422">
        <v>33</v>
      </c>
      <c r="AA422">
        <v>99.99</v>
      </c>
      <c r="AB422">
        <v>4.0999999999999996</v>
      </c>
      <c r="AC422">
        <v>33</v>
      </c>
      <c r="AD422">
        <v>99.94</v>
      </c>
      <c r="AE422">
        <f>Table1[[#This Row],[total_price]]/Table1[[#This Row],[qty]]</f>
        <v>99.99</v>
      </c>
      <c r="AF422" t="str">
        <f t="shared" si="6"/>
        <v/>
      </c>
      <c r="AG422">
        <f>IF(ROW()=2, "", AVERAGE(D$2:D421))</f>
        <v>14.373809523809523</v>
      </c>
    </row>
    <row r="423" spans="1:33" x14ac:dyDescent="0.25">
      <c r="A423" t="s">
        <v>72</v>
      </c>
      <c r="B423" t="s">
        <v>33</v>
      </c>
      <c r="C423" s="1">
        <v>42738</v>
      </c>
      <c r="D423">
        <v>11</v>
      </c>
      <c r="E423">
        <v>1099.8900000000001</v>
      </c>
      <c r="F423">
        <v>30.539090909999999</v>
      </c>
      <c r="G423">
        <v>99.99</v>
      </c>
      <c r="H423">
        <v>47</v>
      </c>
      <c r="I423">
        <v>1893</v>
      </c>
      <c r="J423">
        <v>1</v>
      </c>
      <c r="K423">
        <v>6050</v>
      </c>
      <c r="L423">
        <v>4.0999999999999996</v>
      </c>
      <c r="M423">
        <v>21</v>
      </c>
      <c r="N423">
        <v>23</v>
      </c>
      <c r="O423">
        <v>8</v>
      </c>
      <c r="P423">
        <v>1</v>
      </c>
      <c r="Q423">
        <v>3</v>
      </c>
      <c r="R423">
        <v>2017</v>
      </c>
      <c r="S423">
        <v>11.83035714</v>
      </c>
      <c r="T423">
        <v>8000</v>
      </c>
      <c r="U423">
        <v>99.99</v>
      </c>
      <c r="V423">
        <v>4.0999999999999996</v>
      </c>
      <c r="W423">
        <v>30.539090909999999</v>
      </c>
      <c r="X423">
        <v>99.99</v>
      </c>
      <c r="Y423">
        <v>4.0999999999999996</v>
      </c>
      <c r="Z423">
        <v>30.539090909999999</v>
      </c>
      <c r="AA423">
        <v>99.99</v>
      </c>
      <c r="AB423">
        <v>4.0999999999999996</v>
      </c>
      <c r="AC423">
        <v>30.539090909999999</v>
      </c>
      <c r="AD423">
        <v>99.99</v>
      </c>
      <c r="AE423">
        <f>Table1[[#This Row],[total_price]]/Table1[[#This Row],[qty]]</f>
        <v>99.990000000000009</v>
      </c>
      <c r="AF423">
        <f t="shared" si="6"/>
        <v>99.99</v>
      </c>
      <c r="AG423">
        <f>IF(ROW()=2, "", AVERAGE(D$2:D422))</f>
        <v>14.342042755344417</v>
      </c>
    </row>
    <row r="424" spans="1:33" x14ac:dyDescent="0.25">
      <c r="A424" t="s">
        <v>72</v>
      </c>
      <c r="B424" t="s">
        <v>33</v>
      </c>
      <c r="C424" s="1">
        <v>42739</v>
      </c>
      <c r="D424">
        <v>8</v>
      </c>
      <c r="E424">
        <v>759.92</v>
      </c>
      <c r="F424">
        <v>33.71</v>
      </c>
      <c r="G424">
        <v>96.656666670000007</v>
      </c>
      <c r="H424">
        <v>47</v>
      </c>
      <c r="I424">
        <v>1893</v>
      </c>
      <c r="J424">
        <v>1</v>
      </c>
      <c r="K424">
        <v>6050</v>
      </c>
      <c r="L424">
        <v>4.0999999999999996</v>
      </c>
      <c r="M424">
        <v>17</v>
      </c>
      <c r="N424">
        <v>20</v>
      </c>
      <c r="O424">
        <v>10</v>
      </c>
      <c r="P424">
        <v>2</v>
      </c>
      <c r="Q424">
        <v>4</v>
      </c>
      <c r="R424">
        <v>2017</v>
      </c>
      <c r="S424">
        <v>10.66355519</v>
      </c>
      <c r="T424">
        <v>8000</v>
      </c>
      <c r="U424">
        <v>96.656666670000007</v>
      </c>
      <c r="V424">
        <v>4.0999999999999996</v>
      </c>
      <c r="W424">
        <v>33.71</v>
      </c>
      <c r="X424">
        <v>96.656666670000007</v>
      </c>
      <c r="Y424">
        <v>4.0999999999999996</v>
      </c>
      <c r="Z424">
        <v>33.71</v>
      </c>
      <c r="AA424">
        <v>96.656666670000007</v>
      </c>
      <c r="AB424">
        <v>4.0999999999999996</v>
      </c>
      <c r="AC424">
        <v>33.71</v>
      </c>
      <c r="AD424">
        <v>99.99</v>
      </c>
      <c r="AE424">
        <f>Table1[[#This Row],[total_price]]/Table1[[#This Row],[qty]]</f>
        <v>94.99</v>
      </c>
      <c r="AF424">
        <f t="shared" si="6"/>
        <v>99.990000000000009</v>
      </c>
      <c r="AG424">
        <f>IF(ROW()=2, "", AVERAGE(D$2:D423))</f>
        <v>14.334123222748815</v>
      </c>
    </row>
    <row r="425" spans="1:33" x14ac:dyDescent="0.25">
      <c r="A425" t="s">
        <v>72</v>
      </c>
      <c r="B425" t="s">
        <v>33</v>
      </c>
      <c r="C425" s="1">
        <v>42740</v>
      </c>
      <c r="D425">
        <v>2</v>
      </c>
      <c r="E425">
        <v>219.98</v>
      </c>
      <c r="F425">
        <v>34.130000000000003</v>
      </c>
      <c r="G425">
        <v>109.99</v>
      </c>
      <c r="H425">
        <v>47</v>
      </c>
      <c r="I425">
        <v>1893</v>
      </c>
      <c r="J425">
        <v>1</v>
      </c>
      <c r="K425">
        <v>6050</v>
      </c>
      <c r="L425">
        <v>4.0999999999999996</v>
      </c>
      <c r="M425">
        <v>34</v>
      </c>
      <c r="N425">
        <v>23</v>
      </c>
      <c r="O425">
        <v>8</v>
      </c>
      <c r="P425">
        <v>1</v>
      </c>
      <c r="Q425">
        <v>5</v>
      </c>
      <c r="R425">
        <v>2017</v>
      </c>
      <c r="S425">
        <v>7.5487012990000002</v>
      </c>
      <c r="T425">
        <v>8000</v>
      </c>
      <c r="U425">
        <v>59.9</v>
      </c>
      <c r="V425">
        <v>4.0999999999999996</v>
      </c>
      <c r="W425">
        <v>19.732500000000002</v>
      </c>
      <c r="X425">
        <v>59.9</v>
      </c>
      <c r="Y425">
        <v>4.2</v>
      </c>
      <c r="Z425">
        <v>26.24666667</v>
      </c>
      <c r="AA425">
        <v>109.99</v>
      </c>
      <c r="AB425">
        <v>4.0999999999999996</v>
      </c>
      <c r="AC425">
        <v>34.130000000000003</v>
      </c>
      <c r="AD425">
        <v>96.656666670000007</v>
      </c>
      <c r="AE425">
        <f>Table1[[#This Row],[total_price]]/Table1[[#This Row],[qty]]</f>
        <v>109.99</v>
      </c>
      <c r="AF425">
        <f t="shared" si="6"/>
        <v>94.99</v>
      </c>
      <c r="AG425">
        <f>IF(ROW()=2, "", AVERAGE(D$2:D424))</f>
        <v>14.319148936170214</v>
      </c>
    </row>
    <row r="426" spans="1:33" x14ac:dyDescent="0.25">
      <c r="A426" t="s">
        <v>72</v>
      </c>
      <c r="B426" t="s">
        <v>33</v>
      </c>
      <c r="C426" s="1">
        <v>42741</v>
      </c>
      <c r="D426">
        <v>2</v>
      </c>
      <c r="E426">
        <v>239.98</v>
      </c>
      <c r="F426">
        <v>34.200000000000003</v>
      </c>
      <c r="G426">
        <v>119.99</v>
      </c>
      <c r="H426">
        <v>47</v>
      </c>
      <c r="I426">
        <v>1893</v>
      </c>
      <c r="J426">
        <v>1</v>
      </c>
      <c r="K426">
        <v>6050</v>
      </c>
      <c r="L426">
        <v>4.0999999999999996</v>
      </c>
      <c r="M426">
        <v>26</v>
      </c>
      <c r="N426">
        <v>22</v>
      </c>
      <c r="O426">
        <v>8</v>
      </c>
      <c r="P426">
        <v>1</v>
      </c>
      <c r="Q426">
        <v>6</v>
      </c>
      <c r="R426">
        <v>2017</v>
      </c>
      <c r="S426">
        <v>9.1112012989999993</v>
      </c>
      <c r="T426">
        <v>8000</v>
      </c>
      <c r="U426">
        <v>59.9</v>
      </c>
      <c r="V426">
        <v>4.0999999999999996</v>
      </c>
      <c r="W426">
        <v>17.670000000000002</v>
      </c>
      <c r="X426">
        <v>59.9</v>
      </c>
      <c r="Y426">
        <v>4.2</v>
      </c>
      <c r="Z426">
        <v>16.260000000000002</v>
      </c>
      <c r="AA426">
        <v>119.99</v>
      </c>
      <c r="AB426">
        <v>4.0999999999999996</v>
      </c>
      <c r="AC426">
        <v>34.200000000000003</v>
      </c>
      <c r="AD426">
        <v>109.99</v>
      </c>
      <c r="AE426">
        <f>Table1[[#This Row],[total_price]]/Table1[[#This Row],[qty]]</f>
        <v>119.99</v>
      </c>
      <c r="AF426">
        <f t="shared" si="6"/>
        <v>109.99</v>
      </c>
      <c r="AG426">
        <f>IF(ROW()=2, "", AVERAGE(D$2:D425))</f>
        <v>14.290094339622641</v>
      </c>
    </row>
    <row r="427" spans="1:33" x14ac:dyDescent="0.25">
      <c r="A427" t="s">
        <v>72</v>
      </c>
      <c r="B427" t="s">
        <v>33</v>
      </c>
      <c r="C427" s="1">
        <v>42742</v>
      </c>
      <c r="D427">
        <v>2</v>
      </c>
      <c r="E427">
        <v>240</v>
      </c>
      <c r="F427">
        <v>36.28</v>
      </c>
      <c r="G427">
        <v>120</v>
      </c>
      <c r="H427">
        <v>47</v>
      </c>
      <c r="I427">
        <v>1893</v>
      </c>
      <c r="J427">
        <v>1</v>
      </c>
      <c r="K427">
        <v>6050</v>
      </c>
      <c r="L427">
        <v>4.0999999999999996</v>
      </c>
      <c r="M427">
        <v>74</v>
      </c>
      <c r="N427">
        <v>21</v>
      </c>
      <c r="O427">
        <v>10</v>
      </c>
      <c r="P427">
        <v>1</v>
      </c>
      <c r="Q427">
        <v>7</v>
      </c>
      <c r="R427">
        <v>2017</v>
      </c>
      <c r="S427">
        <v>5.2049512990000002</v>
      </c>
      <c r="T427">
        <v>8000</v>
      </c>
      <c r="U427">
        <v>59.9</v>
      </c>
      <c r="V427">
        <v>4.0999999999999996</v>
      </c>
      <c r="W427">
        <v>16.626428570000002</v>
      </c>
      <c r="X427">
        <v>59.9</v>
      </c>
      <c r="Y427">
        <v>4.2</v>
      </c>
      <c r="Z427">
        <v>16.111578949999998</v>
      </c>
      <c r="AA427">
        <v>59.9</v>
      </c>
      <c r="AB427">
        <v>4.0999999999999996</v>
      </c>
      <c r="AC427">
        <v>15.392307690000001</v>
      </c>
      <c r="AD427">
        <v>119.99</v>
      </c>
      <c r="AE427">
        <f>Table1[[#This Row],[total_price]]/Table1[[#This Row],[qty]]</f>
        <v>120</v>
      </c>
      <c r="AF427">
        <f t="shared" si="6"/>
        <v>119.99</v>
      </c>
      <c r="AG427">
        <f>IF(ROW()=2, "", AVERAGE(D$2:D426))</f>
        <v>14.261176470588236</v>
      </c>
    </row>
    <row r="428" spans="1:33" x14ac:dyDescent="0.25">
      <c r="A428" t="s">
        <v>72</v>
      </c>
      <c r="B428" t="s">
        <v>33</v>
      </c>
      <c r="C428" s="1">
        <v>42744</v>
      </c>
      <c r="D428">
        <v>4</v>
      </c>
      <c r="E428">
        <v>417</v>
      </c>
      <c r="F428">
        <v>33.090000000000003</v>
      </c>
      <c r="G428">
        <v>104.25</v>
      </c>
      <c r="H428">
        <v>47</v>
      </c>
      <c r="I428">
        <v>1893</v>
      </c>
      <c r="J428">
        <v>1</v>
      </c>
      <c r="K428">
        <v>6050</v>
      </c>
      <c r="L428">
        <v>4.0999999999999996</v>
      </c>
      <c r="M428">
        <v>115</v>
      </c>
      <c r="N428">
        <v>21</v>
      </c>
      <c r="O428">
        <v>9</v>
      </c>
      <c r="P428">
        <v>1</v>
      </c>
      <c r="Q428">
        <v>9</v>
      </c>
      <c r="R428">
        <v>2017</v>
      </c>
      <c r="S428">
        <v>5.1948051949999998</v>
      </c>
      <c r="T428">
        <v>8000</v>
      </c>
      <c r="U428">
        <v>59.9</v>
      </c>
      <c r="V428">
        <v>4.0999999999999996</v>
      </c>
      <c r="W428">
        <v>17.187027029999999</v>
      </c>
      <c r="X428">
        <v>59.9</v>
      </c>
      <c r="Y428">
        <v>4.2</v>
      </c>
      <c r="Z428">
        <v>16.811764709999999</v>
      </c>
      <c r="AA428">
        <v>59.9</v>
      </c>
      <c r="AB428">
        <v>4.0999999999999996</v>
      </c>
      <c r="AC428">
        <v>16.29461538</v>
      </c>
      <c r="AD428">
        <v>104.2</v>
      </c>
      <c r="AE428">
        <f>Table1[[#This Row],[total_price]]/Table1[[#This Row],[qty]]</f>
        <v>104.25</v>
      </c>
      <c r="AF428">
        <f t="shared" si="6"/>
        <v>120</v>
      </c>
      <c r="AG428">
        <f>IF(ROW()=2, "", AVERAGE(D$2:D427))</f>
        <v>14.232394366197184</v>
      </c>
    </row>
    <row r="429" spans="1:33" x14ac:dyDescent="0.25">
      <c r="A429" t="s">
        <v>72</v>
      </c>
      <c r="B429" t="s">
        <v>33</v>
      </c>
      <c r="C429" s="1">
        <v>42745</v>
      </c>
      <c r="D429">
        <v>12</v>
      </c>
      <c r="E429">
        <v>1105.92</v>
      </c>
      <c r="F429">
        <v>30.834166669999998</v>
      </c>
      <c r="G429">
        <v>92.593999999999994</v>
      </c>
      <c r="H429">
        <v>47</v>
      </c>
      <c r="I429">
        <v>1893</v>
      </c>
      <c r="J429">
        <v>1</v>
      </c>
      <c r="K429">
        <v>6050</v>
      </c>
      <c r="L429">
        <v>4.0999999999999996</v>
      </c>
      <c r="M429">
        <v>146</v>
      </c>
      <c r="N429">
        <v>22</v>
      </c>
      <c r="O429">
        <v>9</v>
      </c>
      <c r="P429">
        <v>2</v>
      </c>
      <c r="Q429">
        <v>10</v>
      </c>
      <c r="R429">
        <v>2017</v>
      </c>
      <c r="S429">
        <v>15.58441558</v>
      </c>
      <c r="T429">
        <v>8000</v>
      </c>
      <c r="U429">
        <v>59.9</v>
      </c>
      <c r="V429">
        <v>4.0999999999999996</v>
      </c>
      <c r="W429">
        <v>18.065897440000001</v>
      </c>
      <c r="X429">
        <v>59.9</v>
      </c>
      <c r="Y429">
        <v>4.2</v>
      </c>
      <c r="Z429">
        <v>17.595483869999999</v>
      </c>
      <c r="AA429">
        <v>59.9</v>
      </c>
      <c r="AB429">
        <v>4.0999999999999996</v>
      </c>
      <c r="AC429">
        <v>16.814166669999999</v>
      </c>
      <c r="AD429">
        <v>104.25</v>
      </c>
      <c r="AE429">
        <f>Table1[[#This Row],[total_price]]/Table1[[#This Row],[qty]]</f>
        <v>92.160000000000011</v>
      </c>
      <c r="AF429">
        <f t="shared" si="6"/>
        <v>104.25</v>
      </c>
      <c r="AG429">
        <f>IF(ROW()=2, "", AVERAGE(D$2:D428))</f>
        <v>14.208430913348947</v>
      </c>
    </row>
    <row r="430" spans="1:33" x14ac:dyDescent="0.25">
      <c r="A430" t="s">
        <v>72</v>
      </c>
      <c r="B430" t="s">
        <v>33</v>
      </c>
      <c r="C430" s="1">
        <v>42746</v>
      </c>
      <c r="D430">
        <v>21</v>
      </c>
      <c r="E430">
        <v>1889.79</v>
      </c>
      <c r="F430">
        <v>47.525714290000003</v>
      </c>
      <c r="G430">
        <v>89.99</v>
      </c>
      <c r="H430">
        <v>47</v>
      </c>
      <c r="I430">
        <v>1893</v>
      </c>
      <c r="J430">
        <v>1</v>
      </c>
      <c r="K430">
        <v>6050</v>
      </c>
      <c r="L430">
        <v>4.0999999999999996</v>
      </c>
      <c r="M430">
        <v>339</v>
      </c>
      <c r="N430">
        <v>22</v>
      </c>
      <c r="O430">
        <v>8</v>
      </c>
      <c r="P430">
        <v>4</v>
      </c>
      <c r="Q430">
        <v>11</v>
      </c>
      <c r="R430">
        <v>2017</v>
      </c>
      <c r="S430">
        <v>27.272727270000001</v>
      </c>
      <c r="T430">
        <v>8000</v>
      </c>
      <c r="U430">
        <v>52.406944439999997</v>
      </c>
      <c r="V430">
        <v>4.0999999999999996</v>
      </c>
      <c r="W430">
        <v>17.06747253</v>
      </c>
      <c r="X430">
        <v>53.648281249999997</v>
      </c>
      <c r="Y430">
        <v>4.2</v>
      </c>
      <c r="Z430">
        <v>16.075862069999999</v>
      </c>
      <c r="AA430">
        <v>53.785714290000001</v>
      </c>
      <c r="AB430">
        <v>4.0999999999999996</v>
      </c>
      <c r="AC430">
        <v>18.27550725</v>
      </c>
      <c r="AD430">
        <v>92.593999999999994</v>
      </c>
      <c r="AE430">
        <f>Table1[[#This Row],[total_price]]/Table1[[#This Row],[qty]]</f>
        <v>89.99</v>
      </c>
      <c r="AF430">
        <f t="shared" si="6"/>
        <v>92.160000000000011</v>
      </c>
      <c r="AG430">
        <f>IF(ROW()=2, "", AVERAGE(D$2:D429))</f>
        <v>14.203271028037383</v>
      </c>
    </row>
    <row r="431" spans="1:33" x14ac:dyDescent="0.25">
      <c r="A431" t="s">
        <v>72</v>
      </c>
      <c r="B431" t="s">
        <v>33</v>
      </c>
      <c r="C431" s="1">
        <v>42747</v>
      </c>
      <c r="D431">
        <v>14</v>
      </c>
      <c r="E431">
        <v>1259.8599999999999</v>
      </c>
      <c r="F431">
        <v>42.607142860000003</v>
      </c>
      <c r="G431">
        <v>89.99</v>
      </c>
      <c r="H431">
        <v>47</v>
      </c>
      <c r="I431">
        <v>1893</v>
      </c>
      <c r="J431">
        <v>1</v>
      </c>
      <c r="K431">
        <v>6050</v>
      </c>
      <c r="L431">
        <v>4.0999999999999996</v>
      </c>
      <c r="M431">
        <v>184</v>
      </c>
      <c r="N431">
        <v>21</v>
      </c>
      <c r="O431">
        <v>10</v>
      </c>
      <c r="P431">
        <v>1</v>
      </c>
      <c r="Q431">
        <v>12</v>
      </c>
      <c r="R431">
        <v>2017</v>
      </c>
      <c r="S431">
        <v>18.18181818</v>
      </c>
      <c r="T431">
        <v>8000</v>
      </c>
      <c r="U431">
        <v>55.1</v>
      </c>
      <c r="V431">
        <v>4.0999999999999996</v>
      </c>
      <c r="W431">
        <v>15.759607839999999</v>
      </c>
      <c r="X431">
        <v>55.424999999999997</v>
      </c>
      <c r="Y431">
        <v>4.2</v>
      </c>
      <c r="Z431">
        <v>19.184374999999999</v>
      </c>
      <c r="AA431">
        <v>55.75</v>
      </c>
      <c r="AB431">
        <v>4.0999999999999996</v>
      </c>
      <c r="AC431">
        <v>17.267272729999998</v>
      </c>
      <c r="AD431">
        <v>89.99</v>
      </c>
      <c r="AE431">
        <f>Table1[[#This Row],[total_price]]/Table1[[#This Row],[qty]]</f>
        <v>89.99</v>
      </c>
      <c r="AF431">
        <f t="shared" si="6"/>
        <v>89.99</v>
      </c>
      <c r="AG431">
        <f>IF(ROW()=2, "", AVERAGE(D$2:D430))</f>
        <v>14.219114219114219</v>
      </c>
    </row>
    <row r="432" spans="1:33" x14ac:dyDescent="0.25">
      <c r="A432" t="s">
        <v>72</v>
      </c>
      <c r="B432" t="s">
        <v>33</v>
      </c>
      <c r="C432" s="1">
        <v>43101</v>
      </c>
      <c r="D432">
        <v>12</v>
      </c>
      <c r="E432">
        <v>1479.98</v>
      </c>
      <c r="F432">
        <v>39.194166670000001</v>
      </c>
      <c r="G432">
        <v>123.3316667</v>
      </c>
      <c r="H432">
        <v>47</v>
      </c>
      <c r="I432">
        <v>1893</v>
      </c>
      <c r="J432">
        <v>1</v>
      </c>
      <c r="K432">
        <v>6050</v>
      </c>
      <c r="L432">
        <v>4.0999999999999996</v>
      </c>
      <c r="M432">
        <v>137</v>
      </c>
      <c r="N432">
        <v>23</v>
      </c>
      <c r="O432">
        <v>8</v>
      </c>
      <c r="P432">
        <v>2</v>
      </c>
      <c r="Q432">
        <v>1</v>
      </c>
      <c r="R432">
        <v>2018</v>
      </c>
      <c r="S432">
        <v>18.75</v>
      </c>
      <c r="T432">
        <v>8000</v>
      </c>
      <c r="U432">
        <v>49.9</v>
      </c>
      <c r="V432">
        <v>4.0999999999999996</v>
      </c>
      <c r="W432">
        <v>19.495000000000001</v>
      </c>
      <c r="X432">
        <v>49.9</v>
      </c>
      <c r="Y432">
        <v>4.2</v>
      </c>
      <c r="Z432">
        <v>15.841034479999999</v>
      </c>
      <c r="AA432">
        <v>49.9</v>
      </c>
      <c r="AB432">
        <v>4.0999999999999996</v>
      </c>
      <c r="AC432">
        <v>16.505128209999999</v>
      </c>
      <c r="AD432">
        <v>89.99</v>
      </c>
      <c r="AE432">
        <f>Table1[[#This Row],[total_price]]/Table1[[#This Row],[qty]]</f>
        <v>123.33166666666666</v>
      </c>
      <c r="AF432">
        <f t="shared" si="6"/>
        <v>89.99</v>
      </c>
      <c r="AG432">
        <f>IF(ROW()=2, "", AVERAGE(D$2:D431))</f>
        <v>14.21860465116279</v>
      </c>
    </row>
    <row r="433" spans="1:33" x14ac:dyDescent="0.25">
      <c r="A433" t="s">
        <v>72</v>
      </c>
      <c r="B433" t="s">
        <v>33</v>
      </c>
      <c r="C433" s="1">
        <v>43102</v>
      </c>
      <c r="D433">
        <v>14</v>
      </c>
      <c r="E433">
        <v>1680</v>
      </c>
      <c r="F433">
        <v>33.002142859999999</v>
      </c>
      <c r="G433">
        <v>120</v>
      </c>
      <c r="H433">
        <v>47</v>
      </c>
      <c r="I433">
        <v>1893</v>
      </c>
      <c r="J433">
        <v>1</v>
      </c>
      <c r="K433">
        <v>6050</v>
      </c>
      <c r="L433">
        <v>4.0999999999999996</v>
      </c>
      <c r="M433">
        <v>160</v>
      </c>
      <c r="N433">
        <v>20</v>
      </c>
      <c r="O433">
        <v>8</v>
      </c>
      <c r="P433">
        <v>2</v>
      </c>
      <c r="Q433">
        <v>2</v>
      </c>
      <c r="R433">
        <v>2018</v>
      </c>
      <c r="S433">
        <v>11.586850650000001</v>
      </c>
      <c r="T433">
        <v>8000</v>
      </c>
      <c r="U433">
        <v>50.545161290000003</v>
      </c>
      <c r="V433">
        <v>4.0999999999999996</v>
      </c>
      <c r="W433">
        <v>16.611538459999998</v>
      </c>
      <c r="X433">
        <v>50.9</v>
      </c>
      <c r="Y433">
        <v>4.2</v>
      </c>
      <c r="Z433">
        <v>17.519444440000001</v>
      </c>
      <c r="AA433">
        <v>50.357142860000003</v>
      </c>
      <c r="AB433">
        <v>4.0999999999999996</v>
      </c>
      <c r="AC433">
        <v>18.281874999999999</v>
      </c>
      <c r="AD433">
        <v>123.3316667</v>
      </c>
      <c r="AE433">
        <f>Table1[[#This Row],[total_price]]/Table1[[#This Row],[qty]]</f>
        <v>120</v>
      </c>
      <c r="AF433">
        <f t="shared" si="6"/>
        <v>123.33166666666666</v>
      </c>
      <c r="AG433">
        <f>IF(ROW()=2, "", AVERAGE(D$2:D432))</f>
        <v>14.213457076566126</v>
      </c>
    </row>
    <row r="434" spans="1:33" x14ac:dyDescent="0.25">
      <c r="A434" t="s">
        <v>72</v>
      </c>
      <c r="B434" t="s">
        <v>33</v>
      </c>
      <c r="C434" s="1">
        <v>43103</v>
      </c>
      <c r="D434">
        <v>6</v>
      </c>
      <c r="E434">
        <v>680</v>
      </c>
      <c r="F434">
        <v>50.193333330000002</v>
      </c>
      <c r="G434">
        <v>113.33333330000001</v>
      </c>
      <c r="H434">
        <v>47</v>
      </c>
      <c r="I434">
        <v>1893</v>
      </c>
      <c r="J434">
        <v>1</v>
      </c>
      <c r="K434">
        <v>6050</v>
      </c>
      <c r="L434">
        <v>4.0999999999999996</v>
      </c>
      <c r="M434">
        <v>116</v>
      </c>
      <c r="N434">
        <v>22</v>
      </c>
      <c r="O434">
        <v>9</v>
      </c>
      <c r="P434">
        <v>1</v>
      </c>
      <c r="Q434">
        <v>3</v>
      </c>
      <c r="R434">
        <v>2018</v>
      </c>
      <c r="S434">
        <v>11.83035714</v>
      </c>
      <c r="T434">
        <v>8000</v>
      </c>
      <c r="U434">
        <v>53.9</v>
      </c>
      <c r="V434">
        <v>4.0999999999999996</v>
      </c>
      <c r="W434">
        <v>20.359677420000001</v>
      </c>
      <c r="X434">
        <v>53.9</v>
      </c>
      <c r="Y434">
        <v>4.2</v>
      </c>
      <c r="Z434">
        <v>21.852857140000001</v>
      </c>
      <c r="AA434">
        <v>53.9</v>
      </c>
      <c r="AB434">
        <v>4.0999999999999996</v>
      </c>
      <c r="AC434">
        <v>19.024230769999999</v>
      </c>
      <c r="AD434">
        <v>120</v>
      </c>
      <c r="AE434">
        <f>Table1[[#This Row],[total_price]]/Table1[[#This Row],[qty]]</f>
        <v>113.33333333333333</v>
      </c>
      <c r="AF434">
        <f t="shared" si="6"/>
        <v>120</v>
      </c>
      <c r="AG434">
        <f>IF(ROW()=2, "", AVERAGE(D$2:D433))</f>
        <v>14.212962962962964</v>
      </c>
    </row>
    <row r="435" spans="1:33" x14ac:dyDescent="0.25">
      <c r="A435" t="s">
        <v>72</v>
      </c>
      <c r="B435" t="s">
        <v>33</v>
      </c>
      <c r="C435" s="1">
        <v>43104</v>
      </c>
      <c r="D435">
        <v>7</v>
      </c>
      <c r="E435">
        <v>770</v>
      </c>
      <c r="F435">
        <v>42.211428570000002</v>
      </c>
      <c r="G435">
        <v>110</v>
      </c>
      <c r="H435">
        <v>47</v>
      </c>
      <c r="I435">
        <v>1893</v>
      </c>
      <c r="J435">
        <v>1</v>
      </c>
      <c r="K435">
        <v>6050</v>
      </c>
      <c r="L435">
        <v>4.0999999999999996</v>
      </c>
      <c r="M435">
        <v>111</v>
      </c>
      <c r="N435">
        <v>21</v>
      </c>
      <c r="O435">
        <v>9</v>
      </c>
      <c r="P435">
        <v>1</v>
      </c>
      <c r="Q435">
        <v>4</v>
      </c>
      <c r="R435">
        <v>2018</v>
      </c>
      <c r="S435">
        <v>10.66355519</v>
      </c>
      <c r="T435">
        <v>8000</v>
      </c>
      <c r="U435">
        <v>53.9</v>
      </c>
      <c r="V435">
        <v>4.0999999999999996</v>
      </c>
      <c r="W435">
        <v>5.2817391300000001</v>
      </c>
      <c r="X435">
        <v>53.9</v>
      </c>
      <c r="Y435">
        <v>4.2</v>
      </c>
      <c r="Z435">
        <v>19.46846154</v>
      </c>
      <c r="AA435">
        <v>53.9</v>
      </c>
      <c r="AB435">
        <v>4.0999999999999996</v>
      </c>
      <c r="AC435">
        <v>19.071428569999998</v>
      </c>
      <c r="AD435">
        <v>113.33333330000001</v>
      </c>
      <c r="AE435">
        <f>Table1[[#This Row],[total_price]]/Table1[[#This Row],[qty]]</f>
        <v>110</v>
      </c>
      <c r="AF435">
        <f t="shared" si="6"/>
        <v>113.33333333333333</v>
      </c>
      <c r="AG435">
        <f>IF(ROW()=2, "", AVERAGE(D$2:D434))</f>
        <v>14.193995381062356</v>
      </c>
    </row>
    <row r="436" spans="1:33" x14ac:dyDescent="0.25">
      <c r="A436" t="s">
        <v>72</v>
      </c>
      <c r="B436" t="s">
        <v>33</v>
      </c>
      <c r="C436" s="1">
        <v>43105</v>
      </c>
      <c r="D436">
        <v>8</v>
      </c>
      <c r="E436">
        <v>880</v>
      </c>
      <c r="F436">
        <v>39.371250000000003</v>
      </c>
      <c r="G436">
        <v>110</v>
      </c>
      <c r="H436">
        <v>47</v>
      </c>
      <c r="I436">
        <v>1893</v>
      </c>
      <c r="J436">
        <v>1</v>
      </c>
      <c r="K436">
        <v>6050</v>
      </c>
      <c r="L436">
        <v>4.0999999999999996</v>
      </c>
      <c r="M436">
        <v>102</v>
      </c>
      <c r="N436">
        <v>23</v>
      </c>
      <c r="O436">
        <v>8</v>
      </c>
      <c r="P436">
        <v>3</v>
      </c>
      <c r="Q436">
        <v>5</v>
      </c>
      <c r="R436">
        <v>2018</v>
      </c>
      <c r="S436">
        <v>7.5487012990000002</v>
      </c>
      <c r="T436">
        <v>8000</v>
      </c>
      <c r="U436">
        <v>53.415151520000002</v>
      </c>
      <c r="V436">
        <v>4.0999999999999996</v>
      </c>
      <c r="W436">
        <v>10.753035710000001</v>
      </c>
      <c r="X436">
        <v>53.70952381</v>
      </c>
      <c r="Y436">
        <v>4.2</v>
      </c>
      <c r="Z436">
        <v>13.510344829999999</v>
      </c>
      <c r="AA436">
        <v>53.057894740000002</v>
      </c>
      <c r="AB436">
        <v>4.0999999999999996</v>
      </c>
      <c r="AC436">
        <v>12.98</v>
      </c>
      <c r="AD436">
        <v>110</v>
      </c>
      <c r="AE436">
        <f>Table1[[#This Row],[total_price]]/Table1[[#This Row],[qty]]</f>
        <v>110</v>
      </c>
      <c r="AF436">
        <f t="shared" si="6"/>
        <v>110</v>
      </c>
      <c r="AG436">
        <f>IF(ROW()=2, "", AVERAGE(D$2:D435))</f>
        <v>14.17741935483871</v>
      </c>
    </row>
    <row r="437" spans="1:33" x14ac:dyDescent="0.25">
      <c r="A437" t="s">
        <v>72</v>
      </c>
      <c r="B437" t="s">
        <v>33</v>
      </c>
      <c r="C437" s="1">
        <v>43106</v>
      </c>
      <c r="D437">
        <v>10</v>
      </c>
      <c r="E437">
        <v>969.9</v>
      </c>
      <c r="F437">
        <v>41.186</v>
      </c>
      <c r="G437">
        <v>96.656666670000007</v>
      </c>
      <c r="H437">
        <v>47</v>
      </c>
      <c r="I437">
        <v>1893</v>
      </c>
      <c r="J437">
        <v>1</v>
      </c>
      <c r="K437">
        <v>6050</v>
      </c>
      <c r="L437">
        <v>4.0999999999999996</v>
      </c>
      <c r="M437">
        <v>58</v>
      </c>
      <c r="N437">
        <v>21</v>
      </c>
      <c r="O437">
        <v>9</v>
      </c>
      <c r="P437">
        <v>0</v>
      </c>
      <c r="Q437">
        <v>6</v>
      </c>
      <c r="R437">
        <v>2018</v>
      </c>
      <c r="S437">
        <v>9.1112012989999993</v>
      </c>
      <c r="T437">
        <v>8000</v>
      </c>
      <c r="U437">
        <v>49.9</v>
      </c>
      <c r="V437">
        <v>4.0999999999999996</v>
      </c>
      <c r="W437">
        <v>19.89083333</v>
      </c>
      <c r="X437">
        <v>49.9</v>
      </c>
      <c r="Y437">
        <v>4.2</v>
      </c>
      <c r="Z437">
        <v>23.251666669999999</v>
      </c>
      <c r="AA437">
        <v>49.9</v>
      </c>
      <c r="AB437">
        <v>4.0999999999999996</v>
      </c>
      <c r="AC437">
        <v>22.878666670000001</v>
      </c>
      <c r="AD437">
        <v>110</v>
      </c>
      <c r="AE437">
        <f>Table1[[#This Row],[total_price]]/Table1[[#This Row],[qty]]</f>
        <v>96.99</v>
      </c>
      <c r="AF437">
        <f t="shared" si="6"/>
        <v>110</v>
      </c>
      <c r="AG437">
        <f>IF(ROW()=2, "", AVERAGE(D$2:D436))</f>
        <v>14.163218390804598</v>
      </c>
    </row>
    <row r="438" spans="1:33" x14ac:dyDescent="0.25">
      <c r="A438" t="s">
        <v>72</v>
      </c>
      <c r="B438" t="s">
        <v>33</v>
      </c>
      <c r="C438" s="1">
        <v>43107</v>
      </c>
      <c r="D438">
        <v>5</v>
      </c>
      <c r="E438">
        <v>499.95</v>
      </c>
      <c r="F438">
        <v>44.231999999999999</v>
      </c>
      <c r="G438">
        <v>99.99</v>
      </c>
      <c r="H438">
        <v>47</v>
      </c>
      <c r="I438">
        <v>1893</v>
      </c>
      <c r="J438">
        <v>1</v>
      </c>
      <c r="K438">
        <v>6050</v>
      </c>
      <c r="L438">
        <v>4.0999999999999996</v>
      </c>
      <c r="M438">
        <v>54</v>
      </c>
      <c r="N438">
        <v>22</v>
      </c>
      <c r="O438">
        <v>9</v>
      </c>
      <c r="P438">
        <v>1</v>
      </c>
      <c r="Q438">
        <v>7</v>
      </c>
      <c r="R438">
        <v>2018</v>
      </c>
      <c r="S438">
        <v>5.2049512990000002</v>
      </c>
      <c r="T438">
        <v>8000</v>
      </c>
      <c r="U438">
        <v>49.91</v>
      </c>
      <c r="V438">
        <v>4.0999999999999996</v>
      </c>
      <c r="W438">
        <v>28.373333330000001</v>
      </c>
      <c r="X438">
        <v>49.9</v>
      </c>
      <c r="Y438">
        <v>4.2</v>
      </c>
      <c r="Z438">
        <v>33.281428570000003</v>
      </c>
      <c r="AA438">
        <v>49.9</v>
      </c>
      <c r="AB438">
        <v>4.0999999999999996</v>
      </c>
      <c r="AC438">
        <v>20.99</v>
      </c>
      <c r="AD438">
        <v>96.656666670000007</v>
      </c>
      <c r="AE438">
        <f>Table1[[#This Row],[total_price]]/Table1[[#This Row],[qty]]</f>
        <v>99.99</v>
      </c>
      <c r="AF438">
        <f t="shared" si="6"/>
        <v>96.99</v>
      </c>
      <c r="AG438">
        <f>IF(ROW()=2, "", AVERAGE(D$2:D437))</f>
        <v>14.153669724770642</v>
      </c>
    </row>
    <row r="439" spans="1:33" x14ac:dyDescent="0.25">
      <c r="A439" t="s">
        <v>72</v>
      </c>
      <c r="B439" t="s">
        <v>33</v>
      </c>
      <c r="C439" s="1">
        <v>43108</v>
      </c>
      <c r="D439">
        <v>2</v>
      </c>
      <c r="E439">
        <v>199.98</v>
      </c>
      <c r="F439">
        <v>47.744999999999997</v>
      </c>
      <c r="G439">
        <v>99.99</v>
      </c>
      <c r="H439">
        <v>47</v>
      </c>
      <c r="I439">
        <v>1893</v>
      </c>
      <c r="J439">
        <v>1</v>
      </c>
      <c r="K439">
        <v>6050</v>
      </c>
      <c r="L439">
        <v>4.0999999999999996</v>
      </c>
      <c r="M439">
        <v>46</v>
      </c>
      <c r="N439">
        <v>23</v>
      </c>
      <c r="O439">
        <v>8</v>
      </c>
      <c r="P439">
        <v>1</v>
      </c>
      <c r="Q439">
        <v>8</v>
      </c>
      <c r="R439">
        <v>2018</v>
      </c>
      <c r="S439">
        <v>3.125</v>
      </c>
      <c r="T439">
        <v>8000</v>
      </c>
      <c r="U439">
        <v>49.91</v>
      </c>
      <c r="V439">
        <v>4.0999999999999996</v>
      </c>
      <c r="W439">
        <v>20.32833333</v>
      </c>
      <c r="X439">
        <v>49.9</v>
      </c>
      <c r="Y439">
        <v>4.2</v>
      </c>
      <c r="Z439">
        <v>36.442</v>
      </c>
      <c r="AA439">
        <v>49.9</v>
      </c>
      <c r="AB439">
        <v>4.0999999999999996</v>
      </c>
      <c r="AC439">
        <v>32.32</v>
      </c>
      <c r="AD439">
        <v>99.99</v>
      </c>
      <c r="AE439">
        <f>Table1[[#This Row],[total_price]]/Table1[[#This Row],[qty]]</f>
        <v>99.99</v>
      </c>
      <c r="AF439">
        <f t="shared" si="6"/>
        <v>99.99</v>
      </c>
      <c r="AG439">
        <f>IF(ROW()=2, "", AVERAGE(D$2:D438))</f>
        <v>14.132723112128147</v>
      </c>
    </row>
    <row r="440" spans="1:33" x14ac:dyDescent="0.25">
      <c r="A440" t="s">
        <v>73</v>
      </c>
      <c r="B440" t="s">
        <v>31</v>
      </c>
      <c r="C440" s="1">
        <v>42737</v>
      </c>
      <c r="D440">
        <v>2</v>
      </c>
      <c r="E440">
        <v>179.8</v>
      </c>
      <c r="F440">
        <v>13.02</v>
      </c>
      <c r="G440">
        <v>89.9</v>
      </c>
      <c r="H440">
        <v>54</v>
      </c>
      <c r="I440">
        <v>245</v>
      </c>
      <c r="J440">
        <v>1</v>
      </c>
      <c r="K440">
        <v>1383</v>
      </c>
      <c r="L440">
        <v>3.9</v>
      </c>
      <c r="M440">
        <v>2</v>
      </c>
      <c r="N440">
        <v>20</v>
      </c>
      <c r="O440">
        <v>8</v>
      </c>
      <c r="P440">
        <v>2</v>
      </c>
      <c r="Q440">
        <v>2</v>
      </c>
      <c r="R440">
        <v>2017</v>
      </c>
      <c r="S440">
        <v>8.8723015319999998</v>
      </c>
      <c r="T440">
        <v>20000</v>
      </c>
      <c r="U440">
        <v>89.9</v>
      </c>
      <c r="V440">
        <v>3.9</v>
      </c>
      <c r="W440">
        <v>13.02</v>
      </c>
      <c r="X440">
        <v>89.9</v>
      </c>
      <c r="Y440">
        <v>3.9</v>
      </c>
      <c r="Z440">
        <v>13.02</v>
      </c>
      <c r="AA440">
        <v>89.9</v>
      </c>
      <c r="AB440">
        <v>3.9</v>
      </c>
      <c r="AC440">
        <v>13.02</v>
      </c>
      <c r="AD440">
        <v>89.85</v>
      </c>
      <c r="AE440">
        <f>Table1[[#This Row],[total_price]]/Table1[[#This Row],[qty]]</f>
        <v>89.9</v>
      </c>
      <c r="AF440" t="str">
        <f t="shared" si="6"/>
        <v/>
      </c>
      <c r="AG440">
        <f>IF(ROW()=2, "", AVERAGE(D$2:D439))</f>
        <v>14.105022831050228</v>
      </c>
    </row>
    <row r="441" spans="1:33" x14ac:dyDescent="0.25">
      <c r="A441" t="s">
        <v>73</v>
      </c>
      <c r="B441" t="s">
        <v>31</v>
      </c>
      <c r="C441" s="1">
        <v>42738</v>
      </c>
      <c r="D441">
        <v>22</v>
      </c>
      <c r="E441">
        <v>1977.8</v>
      </c>
      <c r="F441">
        <v>13.65272727</v>
      </c>
      <c r="G441">
        <v>89.9</v>
      </c>
      <c r="H441">
        <v>54</v>
      </c>
      <c r="I441">
        <v>245</v>
      </c>
      <c r="J441">
        <v>1</v>
      </c>
      <c r="K441">
        <v>1383</v>
      </c>
      <c r="L441">
        <v>3.9</v>
      </c>
      <c r="M441">
        <v>20</v>
      </c>
      <c r="N441">
        <v>23</v>
      </c>
      <c r="O441">
        <v>8</v>
      </c>
      <c r="P441">
        <v>1</v>
      </c>
      <c r="Q441">
        <v>3</v>
      </c>
      <c r="R441">
        <v>2017</v>
      </c>
      <c r="S441">
        <v>9.7046918519999998</v>
      </c>
      <c r="T441">
        <v>20000</v>
      </c>
      <c r="U441">
        <v>89.9</v>
      </c>
      <c r="V441">
        <v>3.9</v>
      </c>
      <c r="W441">
        <v>13.65272727</v>
      </c>
      <c r="X441">
        <v>89.9</v>
      </c>
      <c r="Y441">
        <v>3.9</v>
      </c>
      <c r="Z441">
        <v>13.65272727</v>
      </c>
      <c r="AA441">
        <v>89.9</v>
      </c>
      <c r="AB441">
        <v>3.9</v>
      </c>
      <c r="AC441">
        <v>13.65272727</v>
      </c>
      <c r="AD441">
        <v>89.9</v>
      </c>
      <c r="AE441">
        <f>Table1[[#This Row],[total_price]]/Table1[[#This Row],[qty]]</f>
        <v>89.899999999999991</v>
      </c>
      <c r="AF441">
        <f t="shared" si="6"/>
        <v>89.9</v>
      </c>
      <c r="AG441">
        <f>IF(ROW()=2, "", AVERAGE(D$2:D440))</f>
        <v>14.077448747152619</v>
      </c>
    </row>
    <row r="442" spans="1:33" x14ac:dyDescent="0.25">
      <c r="A442" t="s">
        <v>73</v>
      </c>
      <c r="B442" t="s">
        <v>31</v>
      </c>
      <c r="C442" s="1">
        <v>42739</v>
      </c>
      <c r="D442">
        <v>34</v>
      </c>
      <c r="E442">
        <v>3056.6</v>
      </c>
      <c r="F442">
        <v>15.05</v>
      </c>
      <c r="G442">
        <v>89.9</v>
      </c>
      <c r="H442">
        <v>54</v>
      </c>
      <c r="I442">
        <v>245</v>
      </c>
      <c r="J442">
        <v>1</v>
      </c>
      <c r="K442">
        <v>1383</v>
      </c>
      <c r="L442">
        <v>3.9</v>
      </c>
      <c r="M442">
        <v>31</v>
      </c>
      <c r="N442">
        <v>20</v>
      </c>
      <c r="O442">
        <v>10</v>
      </c>
      <c r="P442">
        <v>2</v>
      </c>
      <c r="Q442">
        <v>4</v>
      </c>
      <c r="R442">
        <v>2017</v>
      </c>
      <c r="S442">
        <v>7.0791260449999998</v>
      </c>
      <c r="T442">
        <v>20000</v>
      </c>
      <c r="U442">
        <v>89.9</v>
      </c>
      <c r="V442">
        <v>3.9</v>
      </c>
      <c r="W442">
        <v>15.05</v>
      </c>
      <c r="X442">
        <v>89.9</v>
      </c>
      <c r="Y442">
        <v>3.9</v>
      </c>
      <c r="Z442">
        <v>15.05</v>
      </c>
      <c r="AA442">
        <v>89.9</v>
      </c>
      <c r="AB442">
        <v>3.9</v>
      </c>
      <c r="AC442">
        <v>15.05</v>
      </c>
      <c r="AD442">
        <v>89.9</v>
      </c>
      <c r="AE442">
        <f>Table1[[#This Row],[total_price]]/Table1[[#This Row],[qty]]</f>
        <v>89.899999999999991</v>
      </c>
      <c r="AF442">
        <f t="shared" si="6"/>
        <v>89.899999999999991</v>
      </c>
      <c r="AG442">
        <f>IF(ROW()=2, "", AVERAGE(D$2:D441))</f>
        <v>14.095454545454546</v>
      </c>
    </row>
    <row r="443" spans="1:33" x14ac:dyDescent="0.25">
      <c r="A443" t="s">
        <v>73</v>
      </c>
      <c r="B443" t="s">
        <v>31</v>
      </c>
      <c r="C443" s="1">
        <v>42740</v>
      </c>
      <c r="D443">
        <v>58</v>
      </c>
      <c r="E443">
        <v>5214.2</v>
      </c>
      <c r="F443">
        <v>15.011896549999999</v>
      </c>
      <c r="G443">
        <v>89.9</v>
      </c>
      <c r="H443">
        <v>54</v>
      </c>
      <c r="I443">
        <v>245</v>
      </c>
      <c r="J443">
        <v>1</v>
      </c>
      <c r="K443">
        <v>1383</v>
      </c>
      <c r="L443">
        <v>3.9</v>
      </c>
      <c r="M443">
        <v>57</v>
      </c>
      <c r="N443">
        <v>23</v>
      </c>
      <c r="O443">
        <v>8</v>
      </c>
      <c r="P443">
        <v>1</v>
      </c>
      <c r="Q443">
        <v>5</v>
      </c>
      <c r="R443">
        <v>2017</v>
      </c>
      <c r="S443">
        <v>18.23424443</v>
      </c>
      <c r="T443">
        <v>20000</v>
      </c>
      <c r="U443">
        <v>89.9</v>
      </c>
      <c r="V443">
        <v>3.9</v>
      </c>
      <c r="W443">
        <v>15.011896549999999</v>
      </c>
      <c r="X443">
        <v>215</v>
      </c>
      <c r="Y443">
        <v>4.4000000000000004</v>
      </c>
      <c r="Z443">
        <v>8.76</v>
      </c>
      <c r="AA443">
        <v>45.95</v>
      </c>
      <c r="AB443">
        <v>4</v>
      </c>
      <c r="AC443">
        <v>15.1</v>
      </c>
      <c r="AD443">
        <v>89.9</v>
      </c>
      <c r="AE443">
        <f>Table1[[#This Row],[total_price]]/Table1[[#This Row],[qty]]</f>
        <v>89.899999999999991</v>
      </c>
      <c r="AF443">
        <f t="shared" si="6"/>
        <v>89.899999999999991</v>
      </c>
      <c r="AG443">
        <f>IF(ROW()=2, "", AVERAGE(D$2:D442))</f>
        <v>14.140589569160998</v>
      </c>
    </row>
    <row r="444" spans="1:33" x14ac:dyDescent="0.25">
      <c r="A444" t="s">
        <v>73</v>
      </c>
      <c r="B444" t="s">
        <v>31</v>
      </c>
      <c r="C444" s="1">
        <v>42741</v>
      </c>
      <c r="D444">
        <v>51</v>
      </c>
      <c r="E444">
        <v>4584.8999999999996</v>
      </c>
      <c r="F444">
        <v>14.769215689999999</v>
      </c>
      <c r="G444">
        <v>89.9</v>
      </c>
      <c r="H444">
        <v>54</v>
      </c>
      <c r="I444">
        <v>245</v>
      </c>
      <c r="J444">
        <v>1</v>
      </c>
      <c r="K444">
        <v>1383</v>
      </c>
      <c r="L444">
        <v>3.9</v>
      </c>
      <c r="M444">
        <v>61</v>
      </c>
      <c r="N444">
        <v>22</v>
      </c>
      <c r="O444">
        <v>8</v>
      </c>
      <c r="P444">
        <v>1</v>
      </c>
      <c r="Q444">
        <v>6</v>
      </c>
      <c r="R444">
        <v>2017</v>
      </c>
      <c r="S444">
        <v>16.087439069999999</v>
      </c>
      <c r="T444">
        <v>20000</v>
      </c>
      <c r="U444">
        <v>89.9</v>
      </c>
      <c r="V444">
        <v>3.9</v>
      </c>
      <c r="W444">
        <v>14.769215689999999</v>
      </c>
      <c r="X444">
        <v>209</v>
      </c>
      <c r="Y444">
        <v>4.4000000000000004</v>
      </c>
      <c r="Z444">
        <v>21.321999999999999</v>
      </c>
      <c r="AA444">
        <v>45.95</v>
      </c>
      <c r="AB444">
        <v>4</v>
      </c>
      <c r="AC444">
        <v>12.93333333</v>
      </c>
      <c r="AD444">
        <v>89.9</v>
      </c>
      <c r="AE444">
        <f>Table1[[#This Row],[total_price]]/Table1[[#This Row],[qty]]</f>
        <v>89.899999999999991</v>
      </c>
      <c r="AF444">
        <f t="shared" si="6"/>
        <v>89.899999999999991</v>
      </c>
      <c r="AG444">
        <f>IF(ROW()=2, "", AVERAGE(D$2:D443))</f>
        <v>14.239819004524886</v>
      </c>
    </row>
    <row r="445" spans="1:33" x14ac:dyDescent="0.25">
      <c r="A445" t="s">
        <v>73</v>
      </c>
      <c r="B445" t="s">
        <v>31</v>
      </c>
      <c r="C445" s="1">
        <v>42742</v>
      </c>
      <c r="D445">
        <v>60</v>
      </c>
      <c r="E445">
        <v>5394</v>
      </c>
      <c r="F445">
        <v>13.993833329999999</v>
      </c>
      <c r="G445">
        <v>89.9</v>
      </c>
      <c r="H445">
        <v>54</v>
      </c>
      <c r="I445">
        <v>245</v>
      </c>
      <c r="J445">
        <v>1</v>
      </c>
      <c r="K445">
        <v>1383</v>
      </c>
      <c r="L445">
        <v>3.9</v>
      </c>
      <c r="M445">
        <v>123</v>
      </c>
      <c r="N445">
        <v>21</v>
      </c>
      <c r="O445">
        <v>10</v>
      </c>
      <c r="P445">
        <v>1</v>
      </c>
      <c r="Q445">
        <v>7</v>
      </c>
      <c r="R445">
        <v>2017</v>
      </c>
      <c r="S445">
        <v>12.26279596</v>
      </c>
      <c r="T445">
        <v>20000</v>
      </c>
      <c r="U445">
        <v>89.9</v>
      </c>
      <c r="V445">
        <v>3.9</v>
      </c>
      <c r="W445">
        <v>13.993833329999999</v>
      </c>
      <c r="X445">
        <v>205</v>
      </c>
      <c r="Y445">
        <v>4.4000000000000004</v>
      </c>
      <c r="Z445">
        <v>22.195932200000001</v>
      </c>
      <c r="AA445">
        <v>45.95</v>
      </c>
      <c r="AB445">
        <v>4</v>
      </c>
      <c r="AC445">
        <v>14.84</v>
      </c>
      <c r="AD445">
        <v>89.9</v>
      </c>
      <c r="AE445">
        <f>Table1[[#This Row],[total_price]]/Table1[[#This Row],[qty]]</f>
        <v>89.9</v>
      </c>
      <c r="AF445">
        <f t="shared" si="6"/>
        <v>89.899999999999991</v>
      </c>
      <c r="AG445">
        <f>IF(ROW()=2, "", AVERAGE(D$2:D444))</f>
        <v>14.322799097065463</v>
      </c>
    </row>
    <row r="446" spans="1:33" x14ac:dyDescent="0.25">
      <c r="A446" t="s">
        <v>73</v>
      </c>
      <c r="B446" t="s">
        <v>31</v>
      </c>
      <c r="C446" s="1">
        <v>42743</v>
      </c>
      <c r="D446">
        <v>37</v>
      </c>
      <c r="E446">
        <v>3326.3</v>
      </c>
      <c r="F446">
        <v>14.65675676</v>
      </c>
      <c r="G446">
        <v>89.9</v>
      </c>
      <c r="H446">
        <v>54</v>
      </c>
      <c r="I446">
        <v>245</v>
      </c>
      <c r="J446">
        <v>1</v>
      </c>
      <c r="K446">
        <v>1383</v>
      </c>
      <c r="L446">
        <v>3.9</v>
      </c>
      <c r="M446">
        <v>90</v>
      </c>
      <c r="N446">
        <v>23</v>
      </c>
      <c r="O446">
        <v>8</v>
      </c>
      <c r="P446">
        <v>1</v>
      </c>
      <c r="Q446">
        <v>8</v>
      </c>
      <c r="R446">
        <v>2017</v>
      </c>
      <c r="S446">
        <v>7.8875783430000004</v>
      </c>
      <c r="T446">
        <v>20000</v>
      </c>
      <c r="U446">
        <v>89.9</v>
      </c>
      <c r="V446">
        <v>3.9</v>
      </c>
      <c r="W446">
        <v>14.65675676</v>
      </c>
      <c r="X446">
        <v>199.50980390000001</v>
      </c>
      <c r="Y446">
        <v>4.4000000000000004</v>
      </c>
      <c r="Z446">
        <v>19.41288462</v>
      </c>
      <c r="AA446">
        <v>45.95</v>
      </c>
      <c r="AB446">
        <v>4</v>
      </c>
      <c r="AC446">
        <v>14.2875</v>
      </c>
      <c r="AD446">
        <v>89.9</v>
      </c>
      <c r="AE446">
        <f>Table1[[#This Row],[total_price]]/Table1[[#This Row],[qty]]</f>
        <v>89.9</v>
      </c>
      <c r="AF446">
        <f t="shared" si="6"/>
        <v>89.9</v>
      </c>
      <c r="AG446">
        <f>IF(ROW()=2, "", AVERAGE(D$2:D445))</f>
        <v>14.425675675675675</v>
      </c>
    </row>
    <row r="447" spans="1:33" x14ac:dyDescent="0.25">
      <c r="A447" t="s">
        <v>73</v>
      </c>
      <c r="B447" t="s">
        <v>31</v>
      </c>
      <c r="C447" s="1">
        <v>42744</v>
      </c>
      <c r="D447">
        <v>23</v>
      </c>
      <c r="E447">
        <v>2067.6999999999998</v>
      </c>
      <c r="F447">
        <v>18.77652174</v>
      </c>
      <c r="G447">
        <v>89.9</v>
      </c>
      <c r="H447">
        <v>54</v>
      </c>
      <c r="I447">
        <v>245</v>
      </c>
      <c r="J447">
        <v>1</v>
      </c>
      <c r="K447">
        <v>1383</v>
      </c>
      <c r="L447">
        <v>3.9</v>
      </c>
      <c r="M447">
        <v>54</v>
      </c>
      <c r="N447">
        <v>21</v>
      </c>
      <c r="O447">
        <v>9</v>
      </c>
      <c r="P447">
        <v>1</v>
      </c>
      <c r="Q447">
        <v>9</v>
      </c>
      <c r="R447">
        <v>2017</v>
      </c>
      <c r="S447">
        <v>6.4066852369999996</v>
      </c>
      <c r="T447">
        <v>20000</v>
      </c>
      <c r="U447">
        <v>89.9</v>
      </c>
      <c r="V447">
        <v>3.9</v>
      </c>
      <c r="W447">
        <v>18.77652174</v>
      </c>
      <c r="X447">
        <v>163.39870970000001</v>
      </c>
      <c r="Y447">
        <v>4.4000000000000004</v>
      </c>
      <c r="Z447">
        <v>24.3246875</v>
      </c>
      <c r="AA447">
        <v>45.95</v>
      </c>
      <c r="AB447">
        <v>4</v>
      </c>
      <c r="AC447">
        <v>15.1</v>
      </c>
      <c r="AD447">
        <v>89.9</v>
      </c>
      <c r="AE447">
        <f>Table1[[#This Row],[total_price]]/Table1[[#This Row],[qty]]</f>
        <v>89.899999999999991</v>
      </c>
      <c r="AF447">
        <f t="shared" si="6"/>
        <v>89.9</v>
      </c>
      <c r="AG447">
        <f>IF(ROW()=2, "", AVERAGE(D$2:D446))</f>
        <v>14.476404494382022</v>
      </c>
    </row>
    <row r="448" spans="1:33" x14ac:dyDescent="0.25">
      <c r="A448" t="s">
        <v>73</v>
      </c>
      <c r="B448" t="s">
        <v>31</v>
      </c>
      <c r="C448" s="1">
        <v>42745</v>
      </c>
      <c r="D448">
        <v>14</v>
      </c>
      <c r="E448">
        <v>1258.5999999999999</v>
      </c>
      <c r="F448">
        <v>21.57214286</v>
      </c>
      <c r="G448">
        <v>89.9</v>
      </c>
      <c r="H448">
        <v>54</v>
      </c>
      <c r="I448">
        <v>245</v>
      </c>
      <c r="J448">
        <v>1</v>
      </c>
      <c r="K448">
        <v>1383</v>
      </c>
      <c r="L448">
        <v>3.9</v>
      </c>
      <c r="M448">
        <v>50</v>
      </c>
      <c r="N448">
        <v>22</v>
      </c>
      <c r="O448">
        <v>9</v>
      </c>
      <c r="P448">
        <v>2</v>
      </c>
      <c r="Q448">
        <v>10</v>
      </c>
      <c r="R448">
        <v>2017</v>
      </c>
      <c r="S448">
        <v>3.8997214480000002</v>
      </c>
      <c r="T448">
        <v>20000</v>
      </c>
      <c r="U448">
        <v>89.9</v>
      </c>
      <c r="V448">
        <v>3.9</v>
      </c>
      <c r="W448">
        <v>21.57214286</v>
      </c>
      <c r="X448">
        <v>89.9</v>
      </c>
      <c r="Y448">
        <v>3.9</v>
      </c>
      <c r="Z448">
        <v>21.57214286</v>
      </c>
      <c r="AA448">
        <v>45.95</v>
      </c>
      <c r="AB448">
        <v>4</v>
      </c>
      <c r="AC448">
        <v>15.1</v>
      </c>
      <c r="AD448">
        <v>89.9</v>
      </c>
      <c r="AE448">
        <f>Table1[[#This Row],[total_price]]/Table1[[#This Row],[qty]]</f>
        <v>89.899999999999991</v>
      </c>
      <c r="AF448">
        <f t="shared" si="6"/>
        <v>89.899999999999991</v>
      </c>
      <c r="AG448">
        <f>IF(ROW()=2, "", AVERAGE(D$2:D447))</f>
        <v>14.495515695067265</v>
      </c>
    </row>
    <row r="449" spans="1:33" x14ac:dyDescent="0.25">
      <c r="A449" t="s">
        <v>73</v>
      </c>
      <c r="B449" t="s">
        <v>31</v>
      </c>
      <c r="C449" s="1">
        <v>42746</v>
      </c>
      <c r="D449">
        <v>40</v>
      </c>
      <c r="E449">
        <v>3596</v>
      </c>
      <c r="F449">
        <v>16.294</v>
      </c>
      <c r="G449">
        <v>89.9</v>
      </c>
      <c r="H449">
        <v>54</v>
      </c>
      <c r="I449">
        <v>245</v>
      </c>
      <c r="J449">
        <v>1</v>
      </c>
      <c r="K449">
        <v>1383</v>
      </c>
      <c r="L449">
        <v>3.9</v>
      </c>
      <c r="M449">
        <v>97</v>
      </c>
      <c r="N449">
        <v>22</v>
      </c>
      <c r="O449">
        <v>8</v>
      </c>
      <c r="P449">
        <v>4</v>
      </c>
      <c r="Q449">
        <v>11</v>
      </c>
      <c r="R449">
        <v>2017</v>
      </c>
      <c r="S449">
        <v>11.14206128</v>
      </c>
      <c r="T449">
        <v>20000</v>
      </c>
      <c r="U449">
        <v>89.9</v>
      </c>
      <c r="V449">
        <v>3.9</v>
      </c>
      <c r="W449">
        <v>16.294</v>
      </c>
      <c r="X449">
        <v>89.9</v>
      </c>
      <c r="Y449">
        <v>3.9</v>
      </c>
      <c r="Z449">
        <v>16.294</v>
      </c>
      <c r="AA449">
        <v>40.531818180000002</v>
      </c>
      <c r="AB449">
        <v>4</v>
      </c>
      <c r="AC449">
        <v>15.832727269999999</v>
      </c>
      <c r="AD449">
        <v>89.9</v>
      </c>
      <c r="AE449">
        <f>Table1[[#This Row],[total_price]]/Table1[[#This Row],[qty]]</f>
        <v>89.9</v>
      </c>
      <c r="AF449">
        <f t="shared" si="6"/>
        <v>89.899999999999991</v>
      </c>
      <c r="AG449">
        <f>IF(ROW()=2, "", AVERAGE(D$2:D448))</f>
        <v>14.494407158836689</v>
      </c>
    </row>
    <row r="450" spans="1:33" x14ac:dyDescent="0.25">
      <c r="A450" t="s">
        <v>73</v>
      </c>
      <c r="B450" t="s">
        <v>31</v>
      </c>
      <c r="C450" s="1">
        <v>42747</v>
      </c>
      <c r="D450">
        <v>18</v>
      </c>
      <c r="E450">
        <v>1594.2</v>
      </c>
      <c r="F450">
        <v>18.89833333</v>
      </c>
      <c r="G450">
        <v>88.488235290000006</v>
      </c>
      <c r="H450">
        <v>54</v>
      </c>
      <c r="I450">
        <v>245</v>
      </c>
      <c r="J450">
        <v>1</v>
      </c>
      <c r="K450">
        <v>1383</v>
      </c>
      <c r="L450">
        <v>3.9</v>
      </c>
      <c r="M450">
        <v>41</v>
      </c>
      <c r="N450">
        <v>21</v>
      </c>
      <c r="O450">
        <v>10</v>
      </c>
      <c r="P450">
        <v>1</v>
      </c>
      <c r="Q450">
        <v>12</v>
      </c>
      <c r="R450">
        <v>2017</v>
      </c>
      <c r="S450">
        <v>5.0139275769999996</v>
      </c>
      <c r="T450">
        <v>20000</v>
      </c>
      <c r="U450">
        <v>88.488235290000006</v>
      </c>
      <c r="V450">
        <v>3.9</v>
      </c>
      <c r="W450">
        <v>18.89833333</v>
      </c>
      <c r="X450">
        <v>88.488235290000006</v>
      </c>
      <c r="Y450">
        <v>3.9</v>
      </c>
      <c r="Z450">
        <v>18.89833333</v>
      </c>
      <c r="AA450">
        <v>39.99</v>
      </c>
      <c r="AB450">
        <v>4</v>
      </c>
      <c r="AC450">
        <v>15.23</v>
      </c>
      <c r="AD450">
        <v>89.9</v>
      </c>
      <c r="AE450">
        <f>Table1[[#This Row],[total_price]]/Table1[[#This Row],[qty]]</f>
        <v>88.566666666666663</v>
      </c>
      <c r="AF450">
        <f t="shared" ref="AF450:AF513" si="7">IF(A450=A449,AE449,"")</f>
        <v>89.9</v>
      </c>
      <c r="AG450">
        <f>IF(ROW()=2, "", AVERAGE(D$2:D449))</f>
        <v>14.551339285714286</v>
      </c>
    </row>
    <row r="451" spans="1:33" x14ac:dyDescent="0.25">
      <c r="A451" t="s">
        <v>73</v>
      </c>
      <c r="B451" t="s">
        <v>31</v>
      </c>
      <c r="C451" s="1">
        <v>43101</v>
      </c>
      <c r="D451">
        <v>17</v>
      </c>
      <c r="E451">
        <v>1477.3</v>
      </c>
      <c r="F451">
        <v>19.383529410000001</v>
      </c>
      <c r="G451">
        <v>86.9</v>
      </c>
      <c r="H451">
        <v>54</v>
      </c>
      <c r="I451">
        <v>245</v>
      </c>
      <c r="J451">
        <v>1</v>
      </c>
      <c r="K451">
        <v>1383</v>
      </c>
      <c r="L451">
        <v>3.9</v>
      </c>
      <c r="M451">
        <v>62</v>
      </c>
      <c r="N451">
        <v>23</v>
      </c>
      <c r="O451">
        <v>8</v>
      </c>
      <c r="P451">
        <v>2</v>
      </c>
      <c r="Q451">
        <v>1</v>
      </c>
      <c r="R451">
        <v>2018</v>
      </c>
      <c r="S451">
        <v>13.28125</v>
      </c>
      <c r="T451">
        <v>20000</v>
      </c>
      <c r="U451">
        <v>86.9</v>
      </c>
      <c r="V451">
        <v>3.9</v>
      </c>
      <c r="W451">
        <v>19.383529410000001</v>
      </c>
      <c r="X451">
        <v>86.9</v>
      </c>
      <c r="Y451">
        <v>3.9</v>
      </c>
      <c r="Z451">
        <v>19.383529410000001</v>
      </c>
      <c r="AA451">
        <v>39.99</v>
      </c>
      <c r="AB451">
        <v>4</v>
      </c>
      <c r="AC451">
        <v>16.533684210000001</v>
      </c>
      <c r="AD451">
        <v>88.488235290000006</v>
      </c>
      <c r="AE451">
        <f>Table1[[#This Row],[total_price]]/Table1[[#This Row],[qty]]</f>
        <v>86.899999999999991</v>
      </c>
      <c r="AF451">
        <f t="shared" si="7"/>
        <v>88.566666666666663</v>
      </c>
      <c r="AG451">
        <f>IF(ROW()=2, "", AVERAGE(D$2:D450))</f>
        <v>14.559020044543431</v>
      </c>
    </row>
    <row r="452" spans="1:33" x14ac:dyDescent="0.25">
      <c r="A452" t="s">
        <v>73</v>
      </c>
      <c r="B452" t="s">
        <v>31</v>
      </c>
      <c r="C452" s="1">
        <v>43102</v>
      </c>
      <c r="D452">
        <v>22</v>
      </c>
      <c r="E452">
        <v>1911.8</v>
      </c>
      <c r="F452">
        <v>19.20909091</v>
      </c>
      <c r="G452">
        <v>86.9</v>
      </c>
      <c r="H452">
        <v>54</v>
      </c>
      <c r="I452">
        <v>245</v>
      </c>
      <c r="J452">
        <v>1</v>
      </c>
      <c r="K452">
        <v>1383</v>
      </c>
      <c r="L452">
        <v>3.9</v>
      </c>
      <c r="M452">
        <v>62</v>
      </c>
      <c r="N452">
        <v>20</v>
      </c>
      <c r="O452">
        <v>8</v>
      </c>
      <c r="P452">
        <v>2</v>
      </c>
      <c r="Q452">
        <v>2</v>
      </c>
      <c r="R452">
        <v>2018</v>
      </c>
      <c r="S452">
        <v>8.8723015319999998</v>
      </c>
      <c r="T452">
        <v>20000</v>
      </c>
      <c r="U452">
        <v>86.9</v>
      </c>
      <c r="V452">
        <v>3.9</v>
      </c>
      <c r="W452">
        <v>19.20909091</v>
      </c>
      <c r="X452">
        <v>86.9</v>
      </c>
      <c r="Y452">
        <v>3.9</v>
      </c>
      <c r="Z452">
        <v>19.20909091</v>
      </c>
      <c r="AA452">
        <v>39.99</v>
      </c>
      <c r="AB452">
        <v>4</v>
      </c>
      <c r="AC452">
        <v>13.74944444</v>
      </c>
      <c r="AD452">
        <v>86.9</v>
      </c>
      <c r="AE452">
        <f>Table1[[#This Row],[total_price]]/Table1[[#This Row],[qty]]</f>
        <v>86.899999999999991</v>
      </c>
      <c r="AF452">
        <f t="shared" si="7"/>
        <v>86.899999999999991</v>
      </c>
      <c r="AG452">
        <f>IF(ROW()=2, "", AVERAGE(D$2:D451))</f>
        <v>14.564444444444444</v>
      </c>
    </row>
    <row r="453" spans="1:33" x14ac:dyDescent="0.25">
      <c r="A453" t="s">
        <v>73</v>
      </c>
      <c r="B453" t="s">
        <v>31</v>
      </c>
      <c r="C453" s="1">
        <v>43103</v>
      </c>
      <c r="D453">
        <v>17</v>
      </c>
      <c r="E453">
        <v>1477.3</v>
      </c>
      <c r="F453">
        <v>19.982352939999998</v>
      </c>
      <c r="G453">
        <v>86.9</v>
      </c>
      <c r="H453">
        <v>54</v>
      </c>
      <c r="I453">
        <v>245</v>
      </c>
      <c r="J453">
        <v>1</v>
      </c>
      <c r="K453">
        <v>1383</v>
      </c>
      <c r="L453">
        <v>3.9</v>
      </c>
      <c r="M453">
        <v>43</v>
      </c>
      <c r="N453">
        <v>22</v>
      </c>
      <c r="O453">
        <v>9</v>
      </c>
      <c r="P453">
        <v>1</v>
      </c>
      <c r="Q453">
        <v>3</v>
      </c>
      <c r="R453">
        <v>2018</v>
      </c>
      <c r="S453">
        <v>9.7046918519999998</v>
      </c>
      <c r="T453">
        <v>20000</v>
      </c>
      <c r="U453">
        <v>86.9</v>
      </c>
      <c r="V453">
        <v>3.9</v>
      </c>
      <c r="W453">
        <v>19.982352939999998</v>
      </c>
      <c r="X453">
        <v>86.9</v>
      </c>
      <c r="Y453">
        <v>3.9</v>
      </c>
      <c r="Z453">
        <v>19.982352939999998</v>
      </c>
      <c r="AA453">
        <v>39.99</v>
      </c>
      <c r="AB453">
        <v>4</v>
      </c>
      <c r="AC453">
        <v>16.462352939999999</v>
      </c>
      <c r="AD453">
        <v>86.9</v>
      </c>
      <c r="AE453">
        <f>Table1[[#This Row],[total_price]]/Table1[[#This Row],[qty]]</f>
        <v>86.899999999999991</v>
      </c>
      <c r="AF453">
        <f t="shared" si="7"/>
        <v>86.899999999999991</v>
      </c>
      <c r="AG453">
        <f>IF(ROW()=2, "", AVERAGE(D$2:D452))</f>
        <v>14.580931263858092</v>
      </c>
    </row>
    <row r="454" spans="1:33" x14ac:dyDescent="0.25">
      <c r="A454" t="s">
        <v>73</v>
      </c>
      <c r="B454" t="s">
        <v>31</v>
      </c>
      <c r="C454" s="1">
        <v>43104</v>
      </c>
      <c r="D454">
        <v>6</v>
      </c>
      <c r="E454">
        <v>510.27</v>
      </c>
      <c r="F454">
        <v>12.94</v>
      </c>
      <c r="G454">
        <v>85.045000000000002</v>
      </c>
      <c r="H454">
        <v>54</v>
      </c>
      <c r="I454">
        <v>245</v>
      </c>
      <c r="J454">
        <v>1</v>
      </c>
      <c r="K454">
        <v>1383</v>
      </c>
      <c r="L454">
        <v>3.9</v>
      </c>
      <c r="M454">
        <v>34</v>
      </c>
      <c r="N454">
        <v>21</v>
      </c>
      <c r="O454">
        <v>9</v>
      </c>
      <c r="P454">
        <v>1</v>
      </c>
      <c r="Q454">
        <v>4</v>
      </c>
      <c r="R454">
        <v>2018</v>
      </c>
      <c r="S454">
        <v>7.0791260449999998</v>
      </c>
      <c r="T454">
        <v>20000</v>
      </c>
      <c r="U454">
        <v>85.045000000000002</v>
      </c>
      <c r="V454">
        <v>3.9</v>
      </c>
      <c r="W454">
        <v>12.94</v>
      </c>
      <c r="X454">
        <v>85.045000000000002</v>
      </c>
      <c r="Y454">
        <v>3.9</v>
      </c>
      <c r="Z454">
        <v>12.94</v>
      </c>
      <c r="AA454">
        <v>39.99</v>
      </c>
      <c r="AB454">
        <v>4</v>
      </c>
      <c r="AC454">
        <v>14.236153850000001</v>
      </c>
      <c r="AD454">
        <v>86.9</v>
      </c>
      <c r="AE454">
        <f>Table1[[#This Row],[total_price]]/Table1[[#This Row],[qty]]</f>
        <v>85.045000000000002</v>
      </c>
      <c r="AF454">
        <f t="shared" si="7"/>
        <v>86.899999999999991</v>
      </c>
      <c r="AG454">
        <f>IF(ROW()=2, "", AVERAGE(D$2:D453))</f>
        <v>14.586283185840708</v>
      </c>
    </row>
    <row r="455" spans="1:33" x14ac:dyDescent="0.25">
      <c r="A455" t="s">
        <v>73</v>
      </c>
      <c r="B455" t="s">
        <v>31</v>
      </c>
      <c r="C455" s="1">
        <v>43105</v>
      </c>
      <c r="D455">
        <v>26</v>
      </c>
      <c r="E455">
        <v>2174.89</v>
      </c>
      <c r="F455">
        <v>16.78038462</v>
      </c>
      <c r="G455">
        <v>83.64961538</v>
      </c>
      <c r="H455">
        <v>54</v>
      </c>
      <c r="I455">
        <v>245</v>
      </c>
      <c r="J455">
        <v>1</v>
      </c>
      <c r="K455">
        <v>1383</v>
      </c>
      <c r="L455">
        <v>3.9</v>
      </c>
      <c r="M455">
        <v>57</v>
      </c>
      <c r="N455">
        <v>23</v>
      </c>
      <c r="O455">
        <v>8</v>
      </c>
      <c r="P455">
        <v>3</v>
      </c>
      <c r="Q455">
        <v>5</v>
      </c>
      <c r="R455">
        <v>2018</v>
      </c>
      <c r="S455">
        <v>18.23424443</v>
      </c>
      <c r="T455">
        <v>20000</v>
      </c>
      <c r="U455">
        <v>83.64961538</v>
      </c>
      <c r="V455">
        <v>3.9</v>
      </c>
      <c r="W455">
        <v>16.78038462</v>
      </c>
      <c r="X455">
        <v>83.64961538</v>
      </c>
      <c r="Y455">
        <v>3.9</v>
      </c>
      <c r="Z455">
        <v>16.78038462</v>
      </c>
      <c r="AA455">
        <v>39.99</v>
      </c>
      <c r="AB455">
        <v>4</v>
      </c>
      <c r="AC455">
        <v>10.25631579</v>
      </c>
      <c r="AD455">
        <v>85.045000000000002</v>
      </c>
      <c r="AE455">
        <f>Table1[[#This Row],[total_price]]/Table1[[#This Row],[qty]]</f>
        <v>83.649615384615373</v>
      </c>
      <c r="AF455">
        <f t="shared" si="7"/>
        <v>85.045000000000002</v>
      </c>
      <c r="AG455">
        <f>IF(ROW()=2, "", AVERAGE(D$2:D454))</f>
        <v>14.567328918322296</v>
      </c>
    </row>
    <row r="456" spans="1:33" x14ac:dyDescent="0.25">
      <c r="A456" t="s">
        <v>73</v>
      </c>
      <c r="B456" t="s">
        <v>31</v>
      </c>
      <c r="C456" s="1">
        <v>43106</v>
      </c>
      <c r="D456">
        <v>23</v>
      </c>
      <c r="E456">
        <v>1837.7</v>
      </c>
      <c r="F456">
        <v>23.005652170000001</v>
      </c>
      <c r="G456">
        <v>79.900000000000006</v>
      </c>
      <c r="H456">
        <v>54</v>
      </c>
      <c r="I456">
        <v>245</v>
      </c>
      <c r="J456">
        <v>1</v>
      </c>
      <c r="K456">
        <v>1383</v>
      </c>
      <c r="L456">
        <v>3.9</v>
      </c>
      <c r="M456">
        <v>43</v>
      </c>
      <c r="N456">
        <v>21</v>
      </c>
      <c r="O456">
        <v>9</v>
      </c>
      <c r="P456">
        <v>0</v>
      </c>
      <c r="Q456">
        <v>6</v>
      </c>
      <c r="R456">
        <v>2018</v>
      </c>
      <c r="S456">
        <v>16.087439069999999</v>
      </c>
      <c r="T456">
        <v>20000</v>
      </c>
      <c r="U456">
        <v>79.900000000000006</v>
      </c>
      <c r="V456">
        <v>3.9</v>
      </c>
      <c r="W456">
        <v>23.005652170000001</v>
      </c>
      <c r="X456">
        <v>79.900000000000006</v>
      </c>
      <c r="Y456">
        <v>3.9</v>
      </c>
      <c r="Z456">
        <v>23.005652170000001</v>
      </c>
      <c r="AA456">
        <v>39.99</v>
      </c>
      <c r="AB456">
        <v>4</v>
      </c>
      <c r="AC456">
        <v>13.997999999999999</v>
      </c>
      <c r="AD456">
        <v>83.64961538</v>
      </c>
      <c r="AE456">
        <f>Table1[[#This Row],[total_price]]/Table1[[#This Row],[qty]]</f>
        <v>79.900000000000006</v>
      </c>
      <c r="AF456">
        <f t="shared" si="7"/>
        <v>83.649615384615373</v>
      </c>
      <c r="AG456">
        <f>IF(ROW()=2, "", AVERAGE(D$2:D455))</f>
        <v>14.592511013215859</v>
      </c>
    </row>
    <row r="457" spans="1:33" x14ac:dyDescent="0.25">
      <c r="A457" t="s">
        <v>73</v>
      </c>
      <c r="B457" t="s">
        <v>31</v>
      </c>
      <c r="C457" s="1">
        <v>43107</v>
      </c>
      <c r="D457">
        <v>10</v>
      </c>
      <c r="E457">
        <v>781.3</v>
      </c>
      <c r="F457">
        <v>19.952000000000002</v>
      </c>
      <c r="G457">
        <v>77.933333329999996</v>
      </c>
      <c r="H457">
        <v>54</v>
      </c>
      <c r="I457">
        <v>245</v>
      </c>
      <c r="J457">
        <v>1</v>
      </c>
      <c r="K457">
        <v>1383</v>
      </c>
      <c r="L457">
        <v>3.9</v>
      </c>
      <c r="M457">
        <v>26</v>
      </c>
      <c r="N457">
        <v>22</v>
      </c>
      <c r="O457">
        <v>9</v>
      </c>
      <c r="P457">
        <v>1</v>
      </c>
      <c r="Q457">
        <v>7</v>
      </c>
      <c r="R457">
        <v>2018</v>
      </c>
      <c r="S457">
        <v>12.26279596</v>
      </c>
      <c r="T457">
        <v>20000</v>
      </c>
      <c r="U457">
        <v>77.933333329999996</v>
      </c>
      <c r="V457">
        <v>3.9</v>
      </c>
      <c r="W457">
        <v>19.952000000000002</v>
      </c>
      <c r="X457">
        <v>77.933333329999996</v>
      </c>
      <c r="Y457">
        <v>3.9</v>
      </c>
      <c r="Z457">
        <v>19.952000000000002</v>
      </c>
      <c r="AA457">
        <v>39.99</v>
      </c>
      <c r="AB457">
        <v>4</v>
      </c>
      <c r="AC457">
        <v>20.4175</v>
      </c>
      <c r="AD457">
        <v>79.900000000000006</v>
      </c>
      <c r="AE457">
        <f>Table1[[#This Row],[total_price]]/Table1[[#This Row],[qty]]</f>
        <v>78.13</v>
      </c>
      <c r="AF457">
        <f t="shared" si="7"/>
        <v>79.900000000000006</v>
      </c>
      <c r="AG457">
        <f>IF(ROW()=2, "", AVERAGE(D$2:D456))</f>
        <v>14.610989010989011</v>
      </c>
    </row>
    <row r="458" spans="1:33" x14ac:dyDescent="0.25">
      <c r="A458" t="s">
        <v>73</v>
      </c>
      <c r="B458" t="s">
        <v>31</v>
      </c>
      <c r="C458" s="1">
        <v>43108</v>
      </c>
      <c r="D458">
        <v>7</v>
      </c>
      <c r="E458">
        <v>518</v>
      </c>
      <c r="F458">
        <v>17.25571429</v>
      </c>
      <c r="G458">
        <v>74</v>
      </c>
      <c r="H458">
        <v>54</v>
      </c>
      <c r="I458">
        <v>245</v>
      </c>
      <c r="J458">
        <v>1</v>
      </c>
      <c r="K458">
        <v>1383</v>
      </c>
      <c r="L458">
        <v>3.9</v>
      </c>
      <c r="M458">
        <v>15</v>
      </c>
      <c r="N458">
        <v>23</v>
      </c>
      <c r="O458">
        <v>8</v>
      </c>
      <c r="P458">
        <v>1</v>
      </c>
      <c r="Q458">
        <v>8</v>
      </c>
      <c r="R458">
        <v>2018</v>
      </c>
      <c r="S458">
        <v>7.8875783430000004</v>
      </c>
      <c r="T458">
        <v>20000</v>
      </c>
      <c r="U458">
        <v>74</v>
      </c>
      <c r="V458">
        <v>3.9</v>
      </c>
      <c r="W458">
        <v>17.25571429</v>
      </c>
      <c r="X458">
        <v>74</v>
      </c>
      <c r="Y458">
        <v>3.9</v>
      </c>
      <c r="Z458">
        <v>17.25571429</v>
      </c>
      <c r="AA458">
        <v>39.24</v>
      </c>
      <c r="AB458">
        <v>4</v>
      </c>
      <c r="AC458">
        <v>16.333749999999998</v>
      </c>
      <c r="AD458">
        <v>77.933333329999996</v>
      </c>
      <c r="AE458">
        <f>Table1[[#This Row],[total_price]]/Table1[[#This Row],[qty]]</f>
        <v>74</v>
      </c>
      <c r="AF458">
        <f t="shared" si="7"/>
        <v>78.13</v>
      </c>
      <c r="AG458">
        <f>IF(ROW()=2, "", AVERAGE(D$2:D457))</f>
        <v>14.600877192982455</v>
      </c>
    </row>
    <row r="459" spans="1:33" x14ac:dyDescent="0.25">
      <c r="A459" t="s">
        <v>74</v>
      </c>
      <c r="B459" t="s">
        <v>68</v>
      </c>
      <c r="C459" s="1">
        <v>42743</v>
      </c>
      <c r="D459">
        <v>1</v>
      </c>
      <c r="E459">
        <v>38.4</v>
      </c>
      <c r="F459">
        <v>11.85</v>
      </c>
      <c r="G459">
        <v>38.4</v>
      </c>
      <c r="H459">
        <v>41</v>
      </c>
      <c r="I459">
        <v>789</v>
      </c>
      <c r="J459">
        <v>1</v>
      </c>
      <c r="K459">
        <v>950</v>
      </c>
      <c r="L459">
        <v>3.8</v>
      </c>
      <c r="M459">
        <v>14</v>
      </c>
      <c r="N459">
        <v>23</v>
      </c>
      <c r="O459">
        <v>8</v>
      </c>
      <c r="P459">
        <v>1</v>
      </c>
      <c r="Q459">
        <v>8</v>
      </c>
      <c r="R459">
        <v>2017</v>
      </c>
      <c r="S459">
        <v>2.079759863</v>
      </c>
      <c r="T459">
        <v>14000</v>
      </c>
      <c r="U459">
        <v>75</v>
      </c>
      <c r="V459">
        <v>4.0999999999999996</v>
      </c>
      <c r="W459">
        <v>15.376923079999999</v>
      </c>
      <c r="X459">
        <v>38.4</v>
      </c>
      <c r="Y459">
        <v>3.7</v>
      </c>
      <c r="Z459">
        <v>12.105</v>
      </c>
      <c r="AA459">
        <v>38.4</v>
      </c>
      <c r="AB459">
        <v>3.8</v>
      </c>
      <c r="AC459">
        <v>11.85</v>
      </c>
      <c r="AD459">
        <v>38.35</v>
      </c>
      <c r="AE459">
        <f>Table1[[#This Row],[total_price]]/Table1[[#This Row],[qty]]</f>
        <v>38.4</v>
      </c>
      <c r="AF459" t="str">
        <f t="shared" si="7"/>
        <v/>
      </c>
      <c r="AG459">
        <f>IF(ROW()=2, "", AVERAGE(D$2:D458))</f>
        <v>14.584245076586432</v>
      </c>
    </row>
    <row r="460" spans="1:33" x14ac:dyDescent="0.25">
      <c r="A460" t="s">
        <v>74</v>
      </c>
      <c r="B460" t="s">
        <v>68</v>
      </c>
      <c r="C460" s="1">
        <v>42744</v>
      </c>
      <c r="D460">
        <v>6</v>
      </c>
      <c r="E460">
        <v>230.4</v>
      </c>
      <c r="F460">
        <v>13.5</v>
      </c>
      <c r="G460">
        <v>38.4</v>
      </c>
      <c r="H460">
        <v>41</v>
      </c>
      <c r="I460">
        <v>789</v>
      </c>
      <c r="J460">
        <v>1</v>
      </c>
      <c r="K460">
        <v>950</v>
      </c>
      <c r="L460">
        <v>3.8</v>
      </c>
      <c r="M460">
        <v>7</v>
      </c>
      <c r="N460">
        <v>21</v>
      </c>
      <c r="O460">
        <v>9</v>
      </c>
      <c r="P460">
        <v>1</v>
      </c>
      <c r="Q460">
        <v>9</v>
      </c>
      <c r="R460">
        <v>2017</v>
      </c>
      <c r="S460">
        <v>11.32075472</v>
      </c>
      <c r="T460">
        <v>14000</v>
      </c>
      <c r="U460">
        <v>38.4</v>
      </c>
      <c r="V460">
        <v>3.8</v>
      </c>
      <c r="W460">
        <v>13.5</v>
      </c>
      <c r="X460">
        <v>38.4</v>
      </c>
      <c r="Y460">
        <v>3.7</v>
      </c>
      <c r="Z460">
        <v>17.95</v>
      </c>
      <c r="AA460">
        <v>38.4</v>
      </c>
      <c r="AB460">
        <v>3.8</v>
      </c>
      <c r="AC460">
        <v>13.5</v>
      </c>
      <c r="AD460">
        <v>38.4</v>
      </c>
      <c r="AE460">
        <f>Table1[[#This Row],[total_price]]/Table1[[#This Row],[qty]]</f>
        <v>38.4</v>
      </c>
      <c r="AF460">
        <f t="shared" si="7"/>
        <v>38.4</v>
      </c>
      <c r="AG460">
        <f>IF(ROW()=2, "", AVERAGE(D$2:D459))</f>
        <v>14.554585152838428</v>
      </c>
    </row>
    <row r="461" spans="1:33" x14ac:dyDescent="0.25">
      <c r="A461" t="s">
        <v>74</v>
      </c>
      <c r="B461" t="s">
        <v>68</v>
      </c>
      <c r="C461" s="1">
        <v>42745</v>
      </c>
      <c r="D461">
        <v>8</v>
      </c>
      <c r="E461">
        <v>307.2</v>
      </c>
      <c r="F461">
        <v>15.55875</v>
      </c>
      <c r="G461">
        <v>38.4</v>
      </c>
      <c r="H461">
        <v>41</v>
      </c>
      <c r="I461">
        <v>789</v>
      </c>
      <c r="J461">
        <v>1</v>
      </c>
      <c r="K461">
        <v>950</v>
      </c>
      <c r="L461">
        <v>3.8</v>
      </c>
      <c r="M461">
        <v>17</v>
      </c>
      <c r="N461">
        <v>22</v>
      </c>
      <c r="O461">
        <v>9</v>
      </c>
      <c r="P461">
        <v>2</v>
      </c>
      <c r="Q461">
        <v>10</v>
      </c>
      <c r="R461">
        <v>2017</v>
      </c>
      <c r="S461">
        <v>15.09433962</v>
      </c>
      <c r="T461">
        <v>14000</v>
      </c>
      <c r="U461">
        <v>75</v>
      </c>
      <c r="V461">
        <v>4.0999999999999996</v>
      </c>
      <c r="W461">
        <v>13.64</v>
      </c>
      <c r="X461">
        <v>38.4</v>
      </c>
      <c r="Y461">
        <v>3.7</v>
      </c>
      <c r="Z461">
        <v>13.98</v>
      </c>
      <c r="AA461">
        <v>38.4</v>
      </c>
      <c r="AB461">
        <v>3.8</v>
      </c>
      <c r="AC461">
        <v>15.55875</v>
      </c>
      <c r="AD461">
        <v>38.4</v>
      </c>
      <c r="AE461">
        <f>Table1[[#This Row],[total_price]]/Table1[[#This Row],[qty]]</f>
        <v>38.4</v>
      </c>
      <c r="AF461">
        <f t="shared" si="7"/>
        <v>38.4</v>
      </c>
      <c r="AG461">
        <f>IF(ROW()=2, "", AVERAGE(D$2:D460))</f>
        <v>14.535947712418301</v>
      </c>
    </row>
    <row r="462" spans="1:33" x14ac:dyDescent="0.25">
      <c r="A462" t="s">
        <v>74</v>
      </c>
      <c r="B462" t="s">
        <v>68</v>
      </c>
      <c r="C462" s="1">
        <v>42746</v>
      </c>
      <c r="D462">
        <v>34</v>
      </c>
      <c r="E462">
        <v>1170.3499999999999</v>
      </c>
      <c r="F462">
        <v>13.750588240000001</v>
      </c>
      <c r="G462">
        <v>34.581176470000003</v>
      </c>
      <c r="H462">
        <v>41</v>
      </c>
      <c r="I462">
        <v>789</v>
      </c>
      <c r="J462">
        <v>1</v>
      </c>
      <c r="K462">
        <v>950</v>
      </c>
      <c r="L462">
        <v>3.8</v>
      </c>
      <c r="M462">
        <v>64</v>
      </c>
      <c r="N462">
        <v>22</v>
      </c>
      <c r="O462">
        <v>8</v>
      </c>
      <c r="P462">
        <v>4</v>
      </c>
      <c r="Q462">
        <v>11</v>
      </c>
      <c r="R462">
        <v>2017</v>
      </c>
      <c r="S462">
        <v>64.150943400000003</v>
      </c>
      <c r="T462">
        <v>14000</v>
      </c>
      <c r="U462">
        <v>75</v>
      </c>
      <c r="V462">
        <v>4.0999999999999996</v>
      </c>
      <c r="W462">
        <v>16.13272727</v>
      </c>
      <c r="X462">
        <v>36.854285709999999</v>
      </c>
      <c r="Y462">
        <v>3.7</v>
      </c>
      <c r="Z462">
        <v>13.65214286</v>
      </c>
      <c r="AA462">
        <v>99.9</v>
      </c>
      <c r="AB462">
        <v>4.4000000000000004</v>
      </c>
      <c r="AC462">
        <v>21.19</v>
      </c>
      <c r="AD462">
        <v>38.4</v>
      </c>
      <c r="AE462">
        <f>Table1[[#This Row],[total_price]]/Table1[[#This Row],[qty]]</f>
        <v>34.422058823529412</v>
      </c>
      <c r="AF462">
        <f t="shared" si="7"/>
        <v>38.4</v>
      </c>
      <c r="AG462">
        <f>IF(ROW()=2, "", AVERAGE(D$2:D461))</f>
        <v>14.521739130434783</v>
      </c>
    </row>
    <row r="463" spans="1:33" x14ac:dyDescent="0.25">
      <c r="A463" t="s">
        <v>74</v>
      </c>
      <c r="B463" t="s">
        <v>68</v>
      </c>
      <c r="C463" s="1">
        <v>42747</v>
      </c>
      <c r="D463">
        <v>4</v>
      </c>
      <c r="E463">
        <v>153.6</v>
      </c>
      <c r="F463">
        <v>11.015000000000001</v>
      </c>
      <c r="G463">
        <v>38.4</v>
      </c>
      <c r="H463">
        <v>41</v>
      </c>
      <c r="I463">
        <v>789</v>
      </c>
      <c r="J463">
        <v>1</v>
      </c>
      <c r="K463">
        <v>950</v>
      </c>
      <c r="L463">
        <v>3.8</v>
      </c>
      <c r="M463">
        <v>40</v>
      </c>
      <c r="N463">
        <v>21</v>
      </c>
      <c r="O463">
        <v>10</v>
      </c>
      <c r="P463">
        <v>1</v>
      </c>
      <c r="Q463">
        <v>12</v>
      </c>
      <c r="R463">
        <v>2017</v>
      </c>
      <c r="S463">
        <v>7.5471698109999998</v>
      </c>
      <c r="T463">
        <v>14000</v>
      </c>
      <c r="U463">
        <v>75</v>
      </c>
      <c r="V463">
        <v>4.0999999999999996</v>
      </c>
      <c r="W463">
        <v>17.446382979999999</v>
      </c>
      <c r="X463">
        <v>38.4</v>
      </c>
      <c r="Y463">
        <v>3.8</v>
      </c>
      <c r="Z463">
        <v>11.015000000000001</v>
      </c>
      <c r="AA463">
        <v>99.9</v>
      </c>
      <c r="AB463">
        <v>4.4000000000000004</v>
      </c>
      <c r="AC463">
        <v>20.646666669999998</v>
      </c>
      <c r="AD463">
        <v>34.581176470000003</v>
      </c>
      <c r="AE463">
        <f>Table1[[#This Row],[total_price]]/Table1[[#This Row],[qty]]</f>
        <v>38.4</v>
      </c>
      <c r="AF463">
        <f t="shared" si="7"/>
        <v>34.422058823529412</v>
      </c>
      <c r="AG463">
        <f>IF(ROW()=2, "", AVERAGE(D$2:D462))</f>
        <v>14.563991323210413</v>
      </c>
    </row>
    <row r="464" spans="1:33" x14ac:dyDescent="0.25">
      <c r="A464" t="s">
        <v>74</v>
      </c>
      <c r="B464" t="s">
        <v>68</v>
      </c>
      <c r="C464" s="1">
        <v>43101</v>
      </c>
      <c r="D464">
        <v>15</v>
      </c>
      <c r="E464">
        <v>576</v>
      </c>
      <c r="F464">
        <v>14.27533333</v>
      </c>
      <c r="G464">
        <v>38.4</v>
      </c>
      <c r="H464">
        <v>41</v>
      </c>
      <c r="I464">
        <v>789</v>
      </c>
      <c r="J464">
        <v>1</v>
      </c>
      <c r="K464">
        <v>950</v>
      </c>
      <c r="L464">
        <v>3.8</v>
      </c>
      <c r="M464">
        <v>125</v>
      </c>
      <c r="N464">
        <v>23</v>
      </c>
      <c r="O464">
        <v>8</v>
      </c>
      <c r="P464">
        <v>2</v>
      </c>
      <c r="Q464">
        <v>1</v>
      </c>
      <c r="R464">
        <v>2018</v>
      </c>
      <c r="S464">
        <v>34.090909089999997</v>
      </c>
      <c r="T464">
        <v>14000</v>
      </c>
      <c r="U464">
        <v>69.995327099999997</v>
      </c>
      <c r="V464">
        <v>4.0999999999999996</v>
      </c>
      <c r="W464">
        <v>17.663114749999998</v>
      </c>
      <c r="X464">
        <v>38.4</v>
      </c>
      <c r="Y464">
        <v>3.7</v>
      </c>
      <c r="Z464">
        <v>9.34</v>
      </c>
      <c r="AA464">
        <v>99.9</v>
      </c>
      <c r="AB464">
        <v>4.4000000000000004</v>
      </c>
      <c r="AC464">
        <v>22.819230770000001</v>
      </c>
      <c r="AD464">
        <v>38.4</v>
      </c>
      <c r="AE464">
        <f>Table1[[#This Row],[total_price]]/Table1[[#This Row],[qty]]</f>
        <v>38.4</v>
      </c>
      <c r="AF464">
        <f t="shared" si="7"/>
        <v>38.4</v>
      </c>
      <c r="AG464">
        <f>IF(ROW()=2, "", AVERAGE(D$2:D463))</f>
        <v>14.541125541125542</v>
      </c>
    </row>
    <row r="465" spans="1:33" x14ac:dyDescent="0.25">
      <c r="A465" t="s">
        <v>74</v>
      </c>
      <c r="B465" t="s">
        <v>68</v>
      </c>
      <c r="C465" s="1">
        <v>43102</v>
      </c>
      <c r="D465">
        <v>4</v>
      </c>
      <c r="E465">
        <v>153.6</v>
      </c>
      <c r="F465">
        <v>15.61</v>
      </c>
      <c r="G465">
        <v>38.4</v>
      </c>
      <c r="H465">
        <v>41</v>
      </c>
      <c r="I465">
        <v>789</v>
      </c>
      <c r="J465">
        <v>1</v>
      </c>
      <c r="K465">
        <v>950</v>
      </c>
      <c r="L465">
        <v>3.8</v>
      </c>
      <c r="M465">
        <v>52</v>
      </c>
      <c r="N465">
        <v>20</v>
      </c>
      <c r="O465">
        <v>8</v>
      </c>
      <c r="P465">
        <v>2</v>
      </c>
      <c r="Q465">
        <v>2</v>
      </c>
      <c r="R465">
        <v>2018</v>
      </c>
      <c r="S465">
        <v>9.0909090910000003</v>
      </c>
      <c r="T465">
        <v>14000</v>
      </c>
      <c r="U465">
        <v>69.900000000000006</v>
      </c>
      <c r="V465">
        <v>4.0999999999999996</v>
      </c>
      <c r="W465">
        <v>16.115909089999999</v>
      </c>
      <c r="X465">
        <v>38.4</v>
      </c>
      <c r="Y465">
        <v>3.7</v>
      </c>
      <c r="Z465">
        <v>18.685555560000001</v>
      </c>
      <c r="AA465">
        <v>99.9</v>
      </c>
      <c r="AB465">
        <v>4.4000000000000004</v>
      </c>
      <c r="AC465">
        <v>28.89076923</v>
      </c>
      <c r="AD465">
        <v>38.4</v>
      </c>
      <c r="AE465">
        <f>Table1[[#This Row],[total_price]]/Table1[[#This Row],[qty]]</f>
        <v>38.4</v>
      </c>
      <c r="AF465">
        <f t="shared" si="7"/>
        <v>38.4</v>
      </c>
      <c r="AG465">
        <f>IF(ROW()=2, "", AVERAGE(D$2:D464))</f>
        <v>14.542116630669547</v>
      </c>
    </row>
    <row r="466" spans="1:33" x14ac:dyDescent="0.25">
      <c r="A466" t="s">
        <v>74</v>
      </c>
      <c r="B466" t="s">
        <v>68</v>
      </c>
      <c r="C466" s="1">
        <v>43103</v>
      </c>
      <c r="D466">
        <v>14</v>
      </c>
      <c r="E466">
        <v>493.4</v>
      </c>
      <c r="F466">
        <v>15.18928571</v>
      </c>
      <c r="G466">
        <v>35.485714289999997</v>
      </c>
      <c r="H466">
        <v>41</v>
      </c>
      <c r="I466">
        <v>789</v>
      </c>
      <c r="J466">
        <v>1</v>
      </c>
      <c r="K466">
        <v>950</v>
      </c>
      <c r="L466">
        <v>3.8</v>
      </c>
      <c r="M466">
        <v>83</v>
      </c>
      <c r="N466">
        <v>22</v>
      </c>
      <c r="O466">
        <v>9</v>
      </c>
      <c r="P466">
        <v>1</v>
      </c>
      <c r="Q466">
        <v>3</v>
      </c>
      <c r="R466">
        <v>2018</v>
      </c>
      <c r="S466">
        <v>31.81818182</v>
      </c>
      <c r="T466">
        <v>14000</v>
      </c>
      <c r="U466">
        <v>69.900000000000006</v>
      </c>
      <c r="V466">
        <v>4.0999999999999996</v>
      </c>
      <c r="W466">
        <v>18.425076919999999</v>
      </c>
      <c r="X466">
        <v>35.485714289999997</v>
      </c>
      <c r="Y466">
        <v>3.7</v>
      </c>
      <c r="Z466">
        <v>15.44823529</v>
      </c>
      <c r="AA466">
        <v>99.9</v>
      </c>
      <c r="AB466">
        <v>4.4000000000000004</v>
      </c>
      <c r="AC466">
        <v>22.145833329999999</v>
      </c>
      <c r="AD466">
        <v>38.4</v>
      </c>
      <c r="AE466">
        <f>Table1[[#This Row],[total_price]]/Table1[[#This Row],[qty]]</f>
        <v>35.24285714285714</v>
      </c>
      <c r="AF466">
        <f t="shared" si="7"/>
        <v>38.4</v>
      </c>
      <c r="AG466">
        <f>IF(ROW()=2, "", AVERAGE(D$2:D465))</f>
        <v>14.519396551724139</v>
      </c>
    </row>
    <row r="467" spans="1:33" x14ac:dyDescent="0.25">
      <c r="A467" t="s">
        <v>74</v>
      </c>
      <c r="B467" t="s">
        <v>68</v>
      </c>
      <c r="C467" s="1">
        <v>43104</v>
      </c>
      <c r="D467">
        <v>4</v>
      </c>
      <c r="E467">
        <v>140</v>
      </c>
      <c r="F467">
        <v>15</v>
      </c>
      <c r="G467">
        <v>35</v>
      </c>
      <c r="H467">
        <v>41</v>
      </c>
      <c r="I467">
        <v>789</v>
      </c>
      <c r="J467">
        <v>1</v>
      </c>
      <c r="K467">
        <v>950</v>
      </c>
      <c r="L467">
        <v>3.8</v>
      </c>
      <c r="M467">
        <v>92</v>
      </c>
      <c r="N467">
        <v>21</v>
      </c>
      <c r="O467">
        <v>9</v>
      </c>
      <c r="P467">
        <v>1</v>
      </c>
      <c r="Q467">
        <v>4</v>
      </c>
      <c r="R467">
        <v>2018</v>
      </c>
      <c r="S467">
        <v>9.0909090910000003</v>
      </c>
      <c r="T467">
        <v>14000</v>
      </c>
      <c r="U467">
        <v>69.900000000000006</v>
      </c>
      <c r="V467">
        <v>4.0999999999999996</v>
      </c>
      <c r="W467">
        <v>9.0715662649999995</v>
      </c>
      <c r="X467">
        <v>35</v>
      </c>
      <c r="Y467">
        <v>3.7</v>
      </c>
      <c r="Z467">
        <v>13.46941176</v>
      </c>
      <c r="AA467">
        <v>99.9</v>
      </c>
      <c r="AB467">
        <v>4.4000000000000004</v>
      </c>
      <c r="AC467">
        <v>23.32769231</v>
      </c>
      <c r="AD467">
        <v>35.485714289999997</v>
      </c>
      <c r="AE467">
        <f>Table1[[#This Row],[total_price]]/Table1[[#This Row],[qty]]</f>
        <v>35</v>
      </c>
      <c r="AF467">
        <f t="shared" si="7"/>
        <v>35.24285714285714</v>
      </c>
      <c r="AG467">
        <f>IF(ROW()=2, "", AVERAGE(D$2:D466))</f>
        <v>14.518279569892472</v>
      </c>
    </row>
    <row r="468" spans="1:33" x14ac:dyDescent="0.25">
      <c r="A468" t="s">
        <v>74</v>
      </c>
      <c r="B468" t="s">
        <v>68</v>
      </c>
      <c r="C468" s="1">
        <v>43105</v>
      </c>
      <c r="D468">
        <v>4</v>
      </c>
      <c r="E468">
        <v>140</v>
      </c>
      <c r="F468">
        <v>11.58</v>
      </c>
      <c r="G468">
        <v>35</v>
      </c>
      <c r="H468">
        <v>41</v>
      </c>
      <c r="I468">
        <v>789</v>
      </c>
      <c r="J468">
        <v>1</v>
      </c>
      <c r="K468">
        <v>950</v>
      </c>
      <c r="L468">
        <v>3.8</v>
      </c>
      <c r="M468">
        <v>95</v>
      </c>
      <c r="N468">
        <v>23</v>
      </c>
      <c r="O468">
        <v>8</v>
      </c>
      <c r="P468">
        <v>3</v>
      </c>
      <c r="Q468">
        <v>5</v>
      </c>
      <c r="R468">
        <v>2018</v>
      </c>
      <c r="S468">
        <v>9.0909090910000003</v>
      </c>
      <c r="T468">
        <v>14000</v>
      </c>
      <c r="U468">
        <v>69.900000000000006</v>
      </c>
      <c r="V468">
        <v>4.0999999999999996</v>
      </c>
      <c r="W468">
        <v>3.8016304349999999</v>
      </c>
      <c r="X468">
        <v>35</v>
      </c>
      <c r="Y468">
        <v>3.7</v>
      </c>
      <c r="Z468">
        <v>14.634545449999999</v>
      </c>
      <c r="AA468">
        <v>99.9</v>
      </c>
      <c r="AB468">
        <v>4.4000000000000004</v>
      </c>
      <c r="AC468">
        <v>19.41076923</v>
      </c>
      <c r="AD468">
        <v>35</v>
      </c>
      <c r="AE468">
        <f>Table1[[#This Row],[total_price]]/Table1[[#This Row],[qty]]</f>
        <v>35</v>
      </c>
      <c r="AF468">
        <f t="shared" si="7"/>
        <v>35</v>
      </c>
      <c r="AG468">
        <f>IF(ROW()=2, "", AVERAGE(D$2:D467))</f>
        <v>14.495708154506438</v>
      </c>
    </row>
    <row r="469" spans="1:33" x14ac:dyDescent="0.25">
      <c r="A469" t="s">
        <v>74</v>
      </c>
      <c r="B469" t="s">
        <v>68</v>
      </c>
      <c r="C469" s="1">
        <v>43106</v>
      </c>
      <c r="D469">
        <v>2</v>
      </c>
      <c r="E469">
        <v>70</v>
      </c>
      <c r="F469">
        <v>19.32</v>
      </c>
      <c r="G469">
        <v>35</v>
      </c>
      <c r="H469">
        <v>41</v>
      </c>
      <c r="I469">
        <v>789</v>
      </c>
      <c r="J469">
        <v>1</v>
      </c>
      <c r="K469">
        <v>950</v>
      </c>
      <c r="L469">
        <v>3.8</v>
      </c>
      <c r="M469">
        <v>18</v>
      </c>
      <c r="N469">
        <v>21</v>
      </c>
      <c r="O469">
        <v>9</v>
      </c>
      <c r="P469">
        <v>0</v>
      </c>
      <c r="Q469">
        <v>6</v>
      </c>
      <c r="R469">
        <v>2018</v>
      </c>
      <c r="S469">
        <v>4.5454545450000001</v>
      </c>
      <c r="T469">
        <v>14000</v>
      </c>
      <c r="U469">
        <v>89.9</v>
      </c>
      <c r="V469">
        <v>4.0999999999999996</v>
      </c>
      <c r="W469">
        <v>21.93</v>
      </c>
      <c r="X469">
        <v>35</v>
      </c>
      <c r="Y469">
        <v>3.7</v>
      </c>
      <c r="Z469">
        <v>18.10153846</v>
      </c>
      <c r="AA469">
        <v>99.9</v>
      </c>
      <c r="AB469">
        <v>4.4000000000000004</v>
      </c>
      <c r="AC469">
        <v>25.635999999999999</v>
      </c>
      <c r="AD469">
        <v>35</v>
      </c>
      <c r="AE469">
        <f>Table1[[#This Row],[total_price]]/Table1[[#This Row],[qty]]</f>
        <v>35</v>
      </c>
      <c r="AF469">
        <f t="shared" si="7"/>
        <v>35</v>
      </c>
      <c r="AG469">
        <f>IF(ROW()=2, "", AVERAGE(D$2:D468))</f>
        <v>14.473233404710921</v>
      </c>
    </row>
    <row r="470" spans="1:33" x14ac:dyDescent="0.25">
      <c r="A470" t="s">
        <v>74</v>
      </c>
      <c r="B470" t="s">
        <v>68</v>
      </c>
      <c r="C470" s="1">
        <v>43108</v>
      </c>
      <c r="D470">
        <v>1</v>
      </c>
      <c r="E470">
        <v>35</v>
      </c>
      <c r="F470">
        <v>19.440000000000001</v>
      </c>
      <c r="G470">
        <v>35</v>
      </c>
      <c r="H470">
        <v>41</v>
      </c>
      <c r="I470">
        <v>789</v>
      </c>
      <c r="J470">
        <v>1</v>
      </c>
      <c r="K470">
        <v>950</v>
      </c>
      <c r="L470">
        <v>3.8</v>
      </c>
      <c r="M470">
        <v>19</v>
      </c>
      <c r="N470">
        <v>23</v>
      </c>
      <c r="O470">
        <v>8</v>
      </c>
      <c r="P470">
        <v>1</v>
      </c>
      <c r="Q470">
        <v>8</v>
      </c>
      <c r="R470">
        <v>2018</v>
      </c>
      <c r="S470">
        <v>2.079759863</v>
      </c>
      <c r="T470">
        <v>14000</v>
      </c>
      <c r="U470">
        <v>103.2333333</v>
      </c>
      <c r="V470">
        <v>4.0999999999999996</v>
      </c>
      <c r="W470">
        <v>22.3</v>
      </c>
      <c r="X470">
        <v>35</v>
      </c>
      <c r="Y470">
        <v>3.7</v>
      </c>
      <c r="Z470">
        <v>15.628125000000001</v>
      </c>
      <c r="AA470">
        <v>83.833333330000002</v>
      </c>
      <c r="AB470">
        <v>4.4000000000000004</v>
      </c>
      <c r="AC470">
        <v>23.776666670000001</v>
      </c>
      <c r="AD470">
        <v>34.950000000000003</v>
      </c>
      <c r="AE470">
        <f>Table1[[#This Row],[total_price]]/Table1[[#This Row],[qty]]</f>
        <v>35</v>
      </c>
      <c r="AF470">
        <f t="shared" si="7"/>
        <v>35</v>
      </c>
      <c r="AG470">
        <f>IF(ROW()=2, "", AVERAGE(D$2:D469))</f>
        <v>14.446581196581196</v>
      </c>
    </row>
    <row r="471" spans="1:33" x14ac:dyDescent="0.25">
      <c r="A471" t="s">
        <v>75</v>
      </c>
      <c r="B471" t="s">
        <v>55</v>
      </c>
      <c r="C471" s="1">
        <v>42746</v>
      </c>
      <c r="D471">
        <v>13</v>
      </c>
      <c r="E471">
        <v>1404</v>
      </c>
      <c r="F471">
        <v>15.908461539999999</v>
      </c>
      <c r="G471">
        <v>108</v>
      </c>
      <c r="H471">
        <v>58</v>
      </c>
      <c r="I471">
        <v>3006</v>
      </c>
      <c r="J471">
        <v>2</v>
      </c>
      <c r="K471">
        <v>1000</v>
      </c>
      <c r="L471">
        <v>4.2</v>
      </c>
      <c r="M471">
        <v>91</v>
      </c>
      <c r="N471">
        <v>22</v>
      </c>
      <c r="O471">
        <v>8</v>
      </c>
      <c r="P471">
        <v>4</v>
      </c>
      <c r="Q471">
        <v>11</v>
      </c>
      <c r="R471">
        <v>2017</v>
      </c>
      <c r="S471">
        <v>50</v>
      </c>
      <c r="T471">
        <v>7632</v>
      </c>
      <c r="U471">
        <v>133</v>
      </c>
      <c r="V471">
        <v>4.2</v>
      </c>
      <c r="W471">
        <v>19.916666670000001</v>
      </c>
      <c r="X471">
        <v>108</v>
      </c>
      <c r="Y471">
        <v>4.2</v>
      </c>
      <c r="Z471">
        <v>15.908461539999999</v>
      </c>
      <c r="AA471">
        <v>174.43333329999999</v>
      </c>
      <c r="AB471">
        <v>3.8</v>
      </c>
      <c r="AC471">
        <v>20.992777780000001</v>
      </c>
      <c r="AD471">
        <v>107.95</v>
      </c>
      <c r="AE471">
        <f>Table1[[#This Row],[total_price]]/Table1[[#This Row],[qty]]</f>
        <v>108</v>
      </c>
      <c r="AF471" t="str">
        <f t="shared" si="7"/>
        <v/>
      </c>
      <c r="AG471">
        <f>IF(ROW()=2, "", AVERAGE(D$2:D470))</f>
        <v>14.417910447761194</v>
      </c>
    </row>
    <row r="472" spans="1:33" x14ac:dyDescent="0.25">
      <c r="A472" t="s">
        <v>75</v>
      </c>
      <c r="B472" t="s">
        <v>55</v>
      </c>
      <c r="C472" s="1">
        <v>42747</v>
      </c>
      <c r="D472">
        <v>13</v>
      </c>
      <c r="E472">
        <v>1404</v>
      </c>
      <c r="F472">
        <v>16.65384615</v>
      </c>
      <c r="G472">
        <v>108</v>
      </c>
      <c r="H472">
        <v>58</v>
      </c>
      <c r="I472">
        <v>3006</v>
      </c>
      <c r="J472">
        <v>2</v>
      </c>
      <c r="K472">
        <v>1000</v>
      </c>
      <c r="L472">
        <v>4.2</v>
      </c>
      <c r="M472">
        <v>73</v>
      </c>
      <c r="N472">
        <v>21</v>
      </c>
      <c r="O472">
        <v>10</v>
      </c>
      <c r="P472">
        <v>1</v>
      </c>
      <c r="Q472">
        <v>12</v>
      </c>
      <c r="R472">
        <v>2017</v>
      </c>
      <c r="S472">
        <v>50</v>
      </c>
      <c r="T472">
        <v>7632</v>
      </c>
      <c r="U472">
        <v>149</v>
      </c>
      <c r="V472">
        <v>4.2</v>
      </c>
      <c r="W472">
        <v>19.100000000000001</v>
      </c>
      <c r="X472">
        <v>108</v>
      </c>
      <c r="Y472">
        <v>4.2</v>
      </c>
      <c r="Z472">
        <v>16.65384615</v>
      </c>
      <c r="AA472">
        <v>185.96</v>
      </c>
      <c r="AB472">
        <v>3.8</v>
      </c>
      <c r="AC472">
        <v>18.686</v>
      </c>
      <c r="AD472">
        <v>108</v>
      </c>
      <c r="AE472">
        <f>Table1[[#This Row],[total_price]]/Table1[[#This Row],[qty]]</f>
        <v>108</v>
      </c>
      <c r="AF472">
        <f t="shared" si="7"/>
        <v>108</v>
      </c>
      <c r="AG472">
        <f>IF(ROW()=2, "", AVERAGE(D$2:D471))</f>
        <v>14.414893617021276</v>
      </c>
    </row>
    <row r="473" spans="1:33" x14ac:dyDescent="0.25">
      <c r="A473" t="s">
        <v>75</v>
      </c>
      <c r="B473" t="s">
        <v>55</v>
      </c>
      <c r="C473" s="1">
        <v>43101</v>
      </c>
      <c r="D473">
        <v>44</v>
      </c>
      <c r="E473">
        <v>4752</v>
      </c>
      <c r="F473">
        <v>16.196363640000001</v>
      </c>
      <c r="G473">
        <v>108</v>
      </c>
      <c r="H473">
        <v>58</v>
      </c>
      <c r="I473">
        <v>3006</v>
      </c>
      <c r="J473">
        <v>2</v>
      </c>
      <c r="K473">
        <v>1000</v>
      </c>
      <c r="L473">
        <v>4.2</v>
      </c>
      <c r="M473">
        <v>59</v>
      </c>
      <c r="N473">
        <v>23</v>
      </c>
      <c r="O473">
        <v>8</v>
      </c>
      <c r="P473">
        <v>2</v>
      </c>
      <c r="Q473">
        <v>1</v>
      </c>
      <c r="R473">
        <v>2018</v>
      </c>
      <c r="S473">
        <v>22.110552760000001</v>
      </c>
      <c r="T473">
        <v>7632</v>
      </c>
      <c r="U473">
        <v>108</v>
      </c>
      <c r="V473">
        <v>4.2</v>
      </c>
      <c r="W473">
        <v>16.196363640000001</v>
      </c>
      <c r="X473">
        <v>108</v>
      </c>
      <c r="Y473">
        <v>4.2</v>
      </c>
      <c r="Z473">
        <v>16.196363640000001</v>
      </c>
      <c r="AA473">
        <v>199</v>
      </c>
      <c r="AB473">
        <v>3.8</v>
      </c>
      <c r="AC473">
        <v>21.88</v>
      </c>
      <c r="AD473">
        <v>108</v>
      </c>
      <c r="AE473">
        <f>Table1[[#This Row],[total_price]]/Table1[[#This Row],[qty]]</f>
        <v>108</v>
      </c>
      <c r="AF473">
        <f t="shared" si="7"/>
        <v>108</v>
      </c>
      <c r="AG473">
        <f>IF(ROW()=2, "", AVERAGE(D$2:D472))</f>
        <v>14.411889596602972</v>
      </c>
    </row>
    <row r="474" spans="1:33" x14ac:dyDescent="0.25">
      <c r="A474" t="s">
        <v>75</v>
      </c>
      <c r="B474" t="s">
        <v>55</v>
      </c>
      <c r="C474" s="1">
        <v>43102</v>
      </c>
      <c r="D474">
        <v>33</v>
      </c>
      <c r="E474">
        <v>3564</v>
      </c>
      <c r="F474">
        <v>18.253636360000002</v>
      </c>
      <c r="G474">
        <v>108</v>
      </c>
      <c r="H474">
        <v>58</v>
      </c>
      <c r="I474">
        <v>3006</v>
      </c>
      <c r="J474">
        <v>2</v>
      </c>
      <c r="K474">
        <v>1000</v>
      </c>
      <c r="L474">
        <v>4.2</v>
      </c>
      <c r="M474">
        <v>90</v>
      </c>
      <c r="N474">
        <v>20</v>
      </c>
      <c r="O474">
        <v>8</v>
      </c>
      <c r="P474">
        <v>2</v>
      </c>
      <c r="Q474">
        <v>2</v>
      </c>
      <c r="R474">
        <v>2018</v>
      </c>
      <c r="S474">
        <v>16.58291457</v>
      </c>
      <c r="T474">
        <v>7632</v>
      </c>
      <c r="U474">
        <v>128.2416667</v>
      </c>
      <c r="V474">
        <v>4.2</v>
      </c>
      <c r="W474">
        <v>15.926666669999999</v>
      </c>
      <c r="X474">
        <v>108</v>
      </c>
      <c r="Y474">
        <v>4.2</v>
      </c>
      <c r="Z474">
        <v>18.253636360000002</v>
      </c>
      <c r="AA474">
        <v>182</v>
      </c>
      <c r="AB474">
        <v>3.8</v>
      </c>
      <c r="AC474">
        <v>19.329999999999998</v>
      </c>
      <c r="AD474">
        <v>108</v>
      </c>
      <c r="AE474">
        <f>Table1[[#This Row],[total_price]]/Table1[[#This Row],[qty]]</f>
        <v>108</v>
      </c>
      <c r="AF474">
        <f t="shared" si="7"/>
        <v>108</v>
      </c>
      <c r="AG474">
        <f>IF(ROW()=2, "", AVERAGE(D$2:D473))</f>
        <v>14.474576271186441</v>
      </c>
    </row>
    <row r="475" spans="1:33" x14ac:dyDescent="0.25">
      <c r="A475" t="s">
        <v>75</v>
      </c>
      <c r="B475" t="s">
        <v>55</v>
      </c>
      <c r="C475" s="1">
        <v>43103</v>
      </c>
      <c r="D475">
        <v>21</v>
      </c>
      <c r="E475">
        <v>2214</v>
      </c>
      <c r="F475">
        <v>21.6652381</v>
      </c>
      <c r="G475">
        <v>105.6428571</v>
      </c>
      <c r="H475">
        <v>58</v>
      </c>
      <c r="I475">
        <v>3006</v>
      </c>
      <c r="J475">
        <v>2</v>
      </c>
      <c r="K475">
        <v>1000</v>
      </c>
      <c r="L475">
        <v>4.2</v>
      </c>
      <c r="M475">
        <v>125</v>
      </c>
      <c r="N475">
        <v>22</v>
      </c>
      <c r="O475">
        <v>9</v>
      </c>
      <c r="P475">
        <v>1</v>
      </c>
      <c r="Q475">
        <v>3</v>
      </c>
      <c r="R475">
        <v>2018</v>
      </c>
      <c r="S475">
        <v>10.552763819999999</v>
      </c>
      <c r="T475">
        <v>7632</v>
      </c>
      <c r="U475">
        <v>117.44129030000001</v>
      </c>
      <c r="V475">
        <v>4.2</v>
      </c>
      <c r="W475">
        <v>18.261290320000001</v>
      </c>
      <c r="X475">
        <v>105.6428571</v>
      </c>
      <c r="Y475">
        <v>4.2</v>
      </c>
      <c r="Z475">
        <v>21.6652381</v>
      </c>
      <c r="AA475">
        <v>151.87843749999999</v>
      </c>
      <c r="AB475">
        <v>3.8</v>
      </c>
      <c r="AC475">
        <v>20.313749999999999</v>
      </c>
      <c r="AD475">
        <v>108</v>
      </c>
      <c r="AE475">
        <f>Table1[[#This Row],[total_price]]/Table1[[#This Row],[qty]]</f>
        <v>105.42857142857143</v>
      </c>
      <c r="AF475">
        <f t="shared" si="7"/>
        <v>108</v>
      </c>
      <c r="AG475">
        <f>IF(ROW()=2, "", AVERAGE(D$2:D474))</f>
        <v>14.513742071881607</v>
      </c>
    </row>
    <row r="476" spans="1:33" x14ac:dyDescent="0.25">
      <c r="A476" t="s">
        <v>75</v>
      </c>
      <c r="B476" t="s">
        <v>55</v>
      </c>
      <c r="C476" s="1">
        <v>43104</v>
      </c>
      <c r="D476">
        <v>21</v>
      </c>
      <c r="E476">
        <v>2205</v>
      </c>
      <c r="F476">
        <v>13.631428570000001</v>
      </c>
      <c r="G476">
        <v>105</v>
      </c>
      <c r="H476">
        <v>58</v>
      </c>
      <c r="I476">
        <v>3006</v>
      </c>
      <c r="J476">
        <v>2</v>
      </c>
      <c r="K476">
        <v>1000</v>
      </c>
      <c r="L476">
        <v>4.2</v>
      </c>
      <c r="M476">
        <v>178</v>
      </c>
      <c r="N476">
        <v>21</v>
      </c>
      <c r="O476">
        <v>9</v>
      </c>
      <c r="P476">
        <v>1</v>
      </c>
      <c r="Q476">
        <v>4</v>
      </c>
      <c r="R476">
        <v>2018</v>
      </c>
      <c r="S476">
        <v>10.552763819999999</v>
      </c>
      <c r="T476">
        <v>7632</v>
      </c>
      <c r="U476">
        <v>105.648625</v>
      </c>
      <c r="V476">
        <v>4.2</v>
      </c>
      <c r="W476">
        <v>2.1816470589999999</v>
      </c>
      <c r="X476">
        <v>105</v>
      </c>
      <c r="Y476">
        <v>4.2</v>
      </c>
      <c r="Z476">
        <v>13.631428570000001</v>
      </c>
      <c r="AA476">
        <v>150.1333333</v>
      </c>
      <c r="AB476">
        <v>3.8</v>
      </c>
      <c r="AC476">
        <v>19.447777779999999</v>
      </c>
      <c r="AD476">
        <v>105.6428571</v>
      </c>
      <c r="AE476">
        <f>Table1[[#This Row],[total_price]]/Table1[[#This Row],[qty]]</f>
        <v>105</v>
      </c>
      <c r="AF476">
        <f t="shared" si="7"/>
        <v>105.42857142857143</v>
      </c>
      <c r="AG476">
        <f>IF(ROW()=2, "", AVERAGE(D$2:D475))</f>
        <v>14.527426160337553</v>
      </c>
    </row>
    <row r="477" spans="1:33" x14ac:dyDescent="0.25">
      <c r="A477" t="s">
        <v>75</v>
      </c>
      <c r="B477" t="s">
        <v>55</v>
      </c>
      <c r="C477" s="1">
        <v>43105</v>
      </c>
      <c r="D477">
        <v>37</v>
      </c>
      <c r="E477">
        <v>3885</v>
      </c>
      <c r="F477">
        <v>11.3772973</v>
      </c>
      <c r="G477">
        <v>105</v>
      </c>
      <c r="H477">
        <v>58</v>
      </c>
      <c r="I477">
        <v>3006</v>
      </c>
      <c r="J477">
        <v>2</v>
      </c>
      <c r="K477">
        <v>1000</v>
      </c>
      <c r="L477">
        <v>4.2</v>
      </c>
      <c r="M477">
        <v>260</v>
      </c>
      <c r="N477">
        <v>23</v>
      </c>
      <c r="O477">
        <v>8</v>
      </c>
      <c r="P477">
        <v>3</v>
      </c>
      <c r="Q477">
        <v>5</v>
      </c>
      <c r="R477">
        <v>2018</v>
      </c>
      <c r="S477">
        <v>18.592964819999999</v>
      </c>
      <c r="T477">
        <v>7632</v>
      </c>
      <c r="U477">
        <v>103.79252339999999</v>
      </c>
      <c r="V477">
        <v>4.2</v>
      </c>
      <c r="W477">
        <v>9.5438596000000001E-2</v>
      </c>
      <c r="X477">
        <v>105</v>
      </c>
      <c r="Y477">
        <v>4.2</v>
      </c>
      <c r="Z477">
        <v>11.3772973</v>
      </c>
      <c r="AA477">
        <v>132.53125</v>
      </c>
      <c r="AB477">
        <v>3.8</v>
      </c>
      <c r="AC477">
        <v>15.7621875</v>
      </c>
      <c r="AD477">
        <v>105</v>
      </c>
      <c r="AE477">
        <f>Table1[[#This Row],[total_price]]/Table1[[#This Row],[qty]]</f>
        <v>105</v>
      </c>
      <c r="AF477">
        <f t="shared" si="7"/>
        <v>105</v>
      </c>
      <c r="AG477">
        <f>IF(ROW()=2, "", AVERAGE(D$2:D476))</f>
        <v>14.541052631578948</v>
      </c>
    </row>
    <row r="478" spans="1:33" x14ac:dyDescent="0.25">
      <c r="A478" t="s">
        <v>75</v>
      </c>
      <c r="B478" t="s">
        <v>55</v>
      </c>
      <c r="C478" s="1">
        <v>43106</v>
      </c>
      <c r="D478">
        <v>28</v>
      </c>
      <c r="E478">
        <v>2940</v>
      </c>
      <c r="F478">
        <v>23.823571430000001</v>
      </c>
      <c r="G478">
        <v>105</v>
      </c>
      <c r="H478">
        <v>58</v>
      </c>
      <c r="I478">
        <v>3006</v>
      </c>
      <c r="J478">
        <v>2</v>
      </c>
      <c r="K478">
        <v>1000</v>
      </c>
      <c r="L478">
        <v>4.2</v>
      </c>
      <c r="M478">
        <v>93</v>
      </c>
      <c r="N478">
        <v>21</v>
      </c>
      <c r="O478">
        <v>9</v>
      </c>
      <c r="P478">
        <v>0</v>
      </c>
      <c r="Q478">
        <v>6</v>
      </c>
      <c r="R478">
        <v>2018</v>
      </c>
      <c r="S478">
        <v>14.070351759999999</v>
      </c>
      <c r="T478">
        <v>7632</v>
      </c>
      <c r="U478">
        <v>119</v>
      </c>
      <c r="V478">
        <v>4.2</v>
      </c>
      <c r="W478">
        <v>19.206666670000001</v>
      </c>
      <c r="X478">
        <v>105</v>
      </c>
      <c r="Y478">
        <v>4.2</v>
      </c>
      <c r="Z478">
        <v>23.823571430000001</v>
      </c>
      <c r="AA478">
        <v>138.22</v>
      </c>
      <c r="AB478">
        <v>3.8</v>
      </c>
      <c r="AC478">
        <v>16.108000000000001</v>
      </c>
      <c r="AD478">
        <v>105</v>
      </c>
      <c r="AE478">
        <f>Table1[[#This Row],[total_price]]/Table1[[#This Row],[qty]]</f>
        <v>105</v>
      </c>
      <c r="AF478">
        <f t="shared" si="7"/>
        <v>105</v>
      </c>
      <c r="AG478">
        <f>IF(ROW()=2, "", AVERAGE(D$2:D477))</f>
        <v>14.588235294117647</v>
      </c>
    </row>
    <row r="479" spans="1:33" x14ac:dyDescent="0.25">
      <c r="A479" t="s">
        <v>75</v>
      </c>
      <c r="B479" t="s">
        <v>55</v>
      </c>
      <c r="C479" s="1">
        <v>43107</v>
      </c>
      <c r="D479">
        <v>8</v>
      </c>
      <c r="E479">
        <v>840</v>
      </c>
      <c r="F479">
        <v>24.938749999999999</v>
      </c>
      <c r="G479">
        <v>105</v>
      </c>
      <c r="H479">
        <v>58</v>
      </c>
      <c r="I479">
        <v>3006</v>
      </c>
      <c r="J479">
        <v>2</v>
      </c>
      <c r="K479">
        <v>1000</v>
      </c>
      <c r="L479">
        <v>4.2</v>
      </c>
      <c r="M479">
        <v>122</v>
      </c>
      <c r="N479">
        <v>22</v>
      </c>
      <c r="O479">
        <v>9</v>
      </c>
      <c r="P479">
        <v>1</v>
      </c>
      <c r="Q479">
        <v>7</v>
      </c>
      <c r="R479">
        <v>2018</v>
      </c>
      <c r="S479">
        <v>4.0201005030000001</v>
      </c>
      <c r="T479">
        <v>7632</v>
      </c>
      <c r="U479">
        <v>118.3636364</v>
      </c>
      <c r="V479">
        <v>4.2</v>
      </c>
      <c r="W479">
        <v>15.48</v>
      </c>
      <c r="X479">
        <v>105</v>
      </c>
      <c r="Y479">
        <v>4.2</v>
      </c>
      <c r="Z479">
        <v>24.938749999999999</v>
      </c>
      <c r="AA479">
        <v>155</v>
      </c>
      <c r="AB479">
        <v>3.8</v>
      </c>
      <c r="AC479">
        <v>16.47</v>
      </c>
      <c r="AD479">
        <v>105</v>
      </c>
      <c r="AE479">
        <f>Table1[[#This Row],[total_price]]/Table1[[#This Row],[qty]]</f>
        <v>105</v>
      </c>
      <c r="AF479">
        <f t="shared" si="7"/>
        <v>105</v>
      </c>
      <c r="AG479">
        <f>IF(ROW()=2, "", AVERAGE(D$2:D478))</f>
        <v>14.616352201257861</v>
      </c>
    </row>
    <row r="480" spans="1:33" x14ac:dyDescent="0.25">
      <c r="A480" t="s">
        <v>75</v>
      </c>
      <c r="B480" t="s">
        <v>55</v>
      </c>
      <c r="C480" s="1">
        <v>43108</v>
      </c>
      <c r="D480">
        <v>7</v>
      </c>
      <c r="E480">
        <v>735</v>
      </c>
      <c r="F480">
        <v>23.385714289999999</v>
      </c>
      <c r="G480">
        <v>105</v>
      </c>
      <c r="H480">
        <v>58</v>
      </c>
      <c r="I480">
        <v>3006</v>
      </c>
      <c r="J480">
        <v>2</v>
      </c>
      <c r="K480">
        <v>1000</v>
      </c>
      <c r="L480">
        <v>4.2</v>
      </c>
      <c r="M480">
        <v>61</v>
      </c>
      <c r="N480">
        <v>23</v>
      </c>
      <c r="O480">
        <v>8</v>
      </c>
      <c r="P480">
        <v>1</v>
      </c>
      <c r="Q480">
        <v>8</v>
      </c>
      <c r="R480">
        <v>2018</v>
      </c>
      <c r="S480">
        <v>3.5175879399999999</v>
      </c>
      <c r="T480">
        <v>7632</v>
      </c>
      <c r="U480">
        <v>112</v>
      </c>
      <c r="V480">
        <v>4.2</v>
      </c>
      <c r="W480">
        <v>13.44</v>
      </c>
      <c r="X480">
        <v>105</v>
      </c>
      <c r="Y480">
        <v>4.2</v>
      </c>
      <c r="Z480">
        <v>23.385714289999999</v>
      </c>
      <c r="AA480">
        <v>145.55090910000001</v>
      </c>
      <c r="AB480">
        <v>3.8</v>
      </c>
      <c r="AC480">
        <v>21.897272730000001</v>
      </c>
      <c r="AD480">
        <v>105</v>
      </c>
      <c r="AE480">
        <f>Table1[[#This Row],[total_price]]/Table1[[#This Row],[qty]]</f>
        <v>105</v>
      </c>
      <c r="AF480">
        <f t="shared" si="7"/>
        <v>105</v>
      </c>
      <c r="AG480">
        <f>IF(ROW()=2, "", AVERAGE(D$2:D479))</f>
        <v>14.602510460251047</v>
      </c>
    </row>
    <row r="481" spans="1:33" x14ac:dyDescent="0.25">
      <c r="A481" t="s">
        <v>76</v>
      </c>
      <c r="B481" t="s">
        <v>55</v>
      </c>
      <c r="C481" s="1">
        <v>42738</v>
      </c>
      <c r="D481">
        <v>1</v>
      </c>
      <c r="E481">
        <v>78</v>
      </c>
      <c r="F481">
        <v>17.98</v>
      </c>
      <c r="G481">
        <v>78</v>
      </c>
      <c r="H481">
        <v>59</v>
      </c>
      <c r="I481">
        <v>319</v>
      </c>
      <c r="J481">
        <v>4</v>
      </c>
      <c r="K481">
        <v>250</v>
      </c>
      <c r="L481">
        <v>3.9</v>
      </c>
      <c r="M481">
        <v>6</v>
      </c>
      <c r="N481">
        <v>23</v>
      </c>
      <c r="O481">
        <v>8</v>
      </c>
      <c r="P481">
        <v>1</v>
      </c>
      <c r="Q481">
        <v>3</v>
      </c>
      <c r="R481">
        <v>2017</v>
      </c>
      <c r="S481">
        <v>2.7406646110000001</v>
      </c>
      <c r="T481">
        <v>640</v>
      </c>
      <c r="U481">
        <v>78</v>
      </c>
      <c r="V481">
        <v>3.9</v>
      </c>
      <c r="W481">
        <v>17.98</v>
      </c>
      <c r="X481">
        <v>78</v>
      </c>
      <c r="Y481">
        <v>3.9</v>
      </c>
      <c r="Z481">
        <v>17.98</v>
      </c>
      <c r="AA481">
        <v>241.006</v>
      </c>
      <c r="AB481">
        <v>3.8</v>
      </c>
      <c r="AC481">
        <v>21.318000000000001</v>
      </c>
      <c r="AD481">
        <v>77.95</v>
      </c>
      <c r="AE481">
        <f>Table1[[#This Row],[total_price]]/Table1[[#This Row],[qty]]</f>
        <v>78</v>
      </c>
      <c r="AF481" t="str">
        <f t="shared" si="7"/>
        <v/>
      </c>
      <c r="AG481">
        <f>IF(ROW()=2, "", AVERAGE(D$2:D480))</f>
        <v>14.586638830897703</v>
      </c>
    </row>
    <row r="482" spans="1:33" x14ac:dyDescent="0.25">
      <c r="A482" t="s">
        <v>76</v>
      </c>
      <c r="B482" t="s">
        <v>55</v>
      </c>
      <c r="C482" s="1">
        <v>42741</v>
      </c>
      <c r="D482">
        <v>3</v>
      </c>
      <c r="E482">
        <v>234</v>
      </c>
      <c r="F482">
        <v>10.3</v>
      </c>
      <c r="G482">
        <v>78</v>
      </c>
      <c r="H482">
        <v>59</v>
      </c>
      <c r="I482">
        <v>319</v>
      </c>
      <c r="J482">
        <v>4</v>
      </c>
      <c r="K482">
        <v>250</v>
      </c>
      <c r="L482">
        <v>3.9</v>
      </c>
      <c r="M482">
        <v>17</v>
      </c>
      <c r="N482">
        <v>22</v>
      </c>
      <c r="O482">
        <v>8</v>
      </c>
      <c r="P482">
        <v>1</v>
      </c>
      <c r="Q482">
        <v>6</v>
      </c>
      <c r="R482">
        <v>2017</v>
      </c>
      <c r="S482">
        <v>21.17163412</v>
      </c>
      <c r="T482">
        <v>640</v>
      </c>
      <c r="U482">
        <v>163</v>
      </c>
      <c r="V482">
        <v>4.2</v>
      </c>
      <c r="W482">
        <v>14.265000000000001</v>
      </c>
      <c r="X482">
        <v>78</v>
      </c>
      <c r="Y482">
        <v>3.9</v>
      </c>
      <c r="Z482">
        <v>10.3</v>
      </c>
      <c r="AA482">
        <v>185</v>
      </c>
      <c r="AB482">
        <v>3.8</v>
      </c>
      <c r="AC482">
        <v>14.74</v>
      </c>
      <c r="AD482">
        <v>77.95</v>
      </c>
      <c r="AE482">
        <f>Table1[[#This Row],[total_price]]/Table1[[#This Row],[qty]]</f>
        <v>78</v>
      </c>
      <c r="AF482">
        <f t="shared" si="7"/>
        <v>78</v>
      </c>
      <c r="AG482">
        <f>IF(ROW()=2, "", AVERAGE(D$2:D481))</f>
        <v>14.558333333333334</v>
      </c>
    </row>
    <row r="483" spans="1:33" x14ac:dyDescent="0.25">
      <c r="A483" t="s">
        <v>76</v>
      </c>
      <c r="B483" t="s">
        <v>55</v>
      </c>
      <c r="C483" s="1">
        <v>42742</v>
      </c>
      <c r="D483">
        <v>1</v>
      </c>
      <c r="E483">
        <v>78</v>
      </c>
      <c r="F483">
        <v>14.3</v>
      </c>
      <c r="G483">
        <v>78</v>
      </c>
      <c r="H483">
        <v>59</v>
      </c>
      <c r="I483">
        <v>319</v>
      </c>
      <c r="J483">
        <v>4</v>
      </c>
      <c r="K483">
        <v>250</v>
      </c>
      <c r="L483">
        <v>3.9</v>
      </c>
      <c r="M483">
        <v>29</v>
      </c>
      <c r="N483">
        <v>21</v>
      </c>
      <c r="O483">
        <v>10</v>
      </c>
      <c r="P483">
        <v>1</v>
      </c>
      <c r="Q483">
        <v>7</v>
      </c>
      <c r="R483">
        <v>2017</v>
      </c>
      <c r="S483">
        <v>16.76944159</v>
      </c>
      <c r="T483">
        <v>640</v>
      </c>
      <c r="U483">
        <v>161.5909091</v>
      </c>
      <c r="V483">
        <v>4.2</v>
      </c>
      <c r="W483">
        <v>15.525454549999999</v>
      </c>
      <c r="X483">
        <v>78</v>
      </c>
      <c r="Y483">
        <v>3.9</v>
      </c>
      <c r="Z483">
        <v>14.3</v>
      </c>
      <c r="AA483">
        <v>197.38300000000001</v>
      </c>
      <c r="AB483">
        <v>3.8</v>
      </c>
      <c r="AC483">
        <v>16.606000000000002</v>
      </c>
      <c r="AD483">
        <v>78</v>
      </c>
      <c r="AE483">
        <f>Table1[[#This Row],[total_price]]/Table1[[#This Row],[qty]]</f>
        <v>78</v>
      </c>
      <c r="AF483">
        <f t="shared" si="7"/>
        <v>78</v>
      </c>
      <c r="AG483">
        <f>IF(ROW()=2, "", AVERAGE(D$2:D482))</f>
        <v>14.534303534303534</v>
      </c>
    </row>
    <row r="484" spans="1:33" x14ac:dyDescent="0.25">
      <c r="A484" t="s">
        <v>76</v>
      </c>
      <c r="B484" t="s">
        <v>55</v>
      </c>
      <c r="C484" s="1">
        <v>42743</v>
      </c>
      <c r="D484">
        <v>5</v>
      </c>
      <c r="E484">
        <v>390</v>
      </c>
      <c r="F484">
        <v>18.22</v>
      </c>
      <c r="G484">
        <v>78</v>
      </c>
      <c r="H484">
        <v>59</v>
      </c>
      <c r="I484">
        <v>319</v>
      </c>
      <c r="J484">
        <v>4</v>
      </c>
      <c r="K484">
        <v>250</v>
      </c>
      <c r="L484">
        <v>3.9</v>
      </c>
      <c r="M484">
        <v>48</v>
      </c>
      <c r="N484">
        <v>23</v>
      </c>
      <c r="O484">
        <v>8</v>
      </c>
      <c r="P484">
        <v>1</v>
      </c>
      <c r="Q484">
        <v>8</v>
      </c>
      <c r="R484">
        <v>2017</v>
      </c>
      <c r="S484">
        <v>21.976704349999999</v>
      </c>
      <c r="T484">
        <v>640</v>
      </c>
      <c r="U484">
        <v>160.66923080000001</v>
      </c>
      <c r="V484">
        <v>4.2</v>
      </c>
      <c r="W484">
        <v>15.185384620000001</v>
      </c>
      <c r="X484">
        <v>78</v>
      </c>
      <c r="Y484">
        <v>3.9</v>
      </c>
      <c r="Z484">
        <v>18.22</v>
      </c>
      <c r="AA484">
        <v>179.9</v>
      </c>
      <c r="AB484">
        <v>3.8</v>
      </c>
      <c r="AC484">
        <v>14.926666669999999</v>
      </c>
      <c r="AD484">
        <v>78</v>
      </c>
      <c r="AE484">
        <f>Table1[[#This Row],[total_price]]/Table1[[#This Row],[qty]]</f>
        <v>78</v>
      </c>
      <c r="AF484">
        <f t="shared" si="7"/>
        <v>78</v>
      </c>
      <c r="AG484">
        <f>IF(ROW()=2, "", AVERAGE(D$2:D483))</f>
        <v>14.506224066390041</v>
      </c>
    </row>
    <row r="485" spans="1:33" x14ac:dyDescent="0.25">
      <c r="A485" t="s">
        <v>76</v>
      </c>
      <c r="B485" t="s">
        <v>55</v>
      </c>
      <c r="C485" s="1">
        <v>42745</v>
      </c>
      <c r="D485">
        <v>3</v>
      </c>
      <c r="E485">
        <v>234</v>
      </c>
      <c r="F485">
        <v>12.133333329999999</v>
      </c>
      <c r="G485">
        <v>78</v>
      </c>
      <c r="H485">
        <v>59</v>
      </c>
      <c r="I485">
        <v>319</v>
      </c>
      <c r="J485">
        <v>4</v>
      </c>
      <c r="K485">
        <v>250</v>
      </c>
      <c r="L485">
        <v>3.9</v>
      </c>
      <c r="M485">
        <v>43</v>
      </c>
      <c r="N485">
        <v>22</v>
      </c>
      <c r="O485">
        <v>9</v>
      </c>
      <c r="P485">
        <v>2</v>
      </c>
      <c r="Q485">
        <v>10</v>
      </c>
      <c r="R485">
        <v>2017</v>
      </c>
      <c r="S485">
        <v>14.28571429</v>
      </c>
      <c r="T485">
        <v>640</v>
      </c>
      <c r="U485">
        <v>134.9</v>
      </c>
      <c r="V485">
        <v>4.2</v>
      </c>
      <c r="W485">
        <v>6.81</v>
      </c>
      <c r="X485">
        <v>78</v>
      </c>
      <c r="Y485">
        <v>3.9</v>
      </c>
      <c r="Z485">
        <v>12.133333329999999</v>
      </c>
      <c r="AA485">
        <v>232.49</v>
      </c>
      <c r="AB485">
        <v>3.8</v>
      </c>
      <c r="AC485">
        <v>14.2125</v>
      </c>
      <c r="AD485">
        <v>77.95</v>
      </c>
      <c r="AE485">
        <f>Table1[[#This Row],[total_price]]/Table1[[#This Row],[qty]]</f>
        <v>78</v>
      </c>
      <c r="AF485">
        <f t="shared" si="7"/>
        <v>78</v>
      </c>
      <c r="AG485">
        <f>IF(ROW()=2, "", AVERAGE(D$2:D484))</f>
        <v>14.486542443064183</v>
      </c>
    </row>
    <row r="486" spans="1:33" x14ac:dyDescent="0.25">
      <c r="A486" t="s">
        <v>76</v>
      </c>
      <c r="B486" t="s">
        <v>55</v>
      </c>
      <c r="C486" s="1">
        <v>42746</v>
      </c>
      <c r="D486">
        <v>2</v>
      </c>
      <c r="E486">
        <v>156</v>
      </c>
      <c r="F486">
        <v>7.8</v>
      </c>
      <c r="G486">
        <v>78</v>
      </c>
      <c r="H486">
        <v>59</v>
      </c>
      <c r="I486">
        <v>319</v>
      </c>
      <c r="J486">
        <v>4</v>
      </c>
      <c r="K486">
        <v>250</v>
      </c>
      <c r="L486">
        <v>3.9</v>
      </c>
      <c r="M486">
        <v>91</v>
      </c>
      <c r="N486">
        <v>22</v>
      </c>
      <c r="O486">
        <v>8</v>
      </c>
      <c r="P486">
        <v>4</v>
      </c>
      <c r="Q486">
        <v>11</v>
      </c>
      <c r="R486">
        <v>2017</v>
      </c>
      <c r="S486">
        <v>9.5238095240000007</v>
      </c>
      <c r="T486">
        <v>640</v>
      </c>
      <c r="U486">
        <v>133</v>
      </c>
      <c r="V486">
        <v>4.2</v>
      </c>
      <c r="W486">
        <v>19.916666670000001</v>
      </c>
      <c r="X486">
        <v>108</v>
      </c>
      <c r="Y486">
        <v>4.2</v>
      </c>
      <c r="Z486">
        <v>15.908461539999999</v>
      </c>
      <c r="AA486">
        <v>174.43333329999999</v>
      </c>
      <c r="AB486">
        <v>3.8</v>
      </c>
      <c r="AC486">
        <v>20.992777780000001</v>
      </c>
      <c r="AD486">
        <v>78</v>
      </c>
      <c r="AE486">
        <f>Table1[[#This Row],[total_price]]/Table1[[#This Row],[qty]]</f>
        <v>78</v>
      </c>
      <c r="AF486">
        <f t="shared" si="7"/>
        <v>78</v>
      </c>
      <c r="AG486">
        <f>IF(ROW()=2, "", AVERAGE(D$2:D485))</f>
        <v>14.462809917355372</v>
      </c>
    </row>
    <row r="487" spans="1:33" x14ac:dyDescent="0.25">
      <c r="A487" t="s">
        <v>76</v>
      </c>
      <c r="B487" t="s">
        <v>55</v>
      </c>
      <c r="C487" s="1">
        <v>42747</v>
      </c>
      <c r="D487">
        <v>6</v>
      </c>
      <c r="E487">
        <v>468</v>
      </c>
      <c r="F487">
        <v>19.69166667</v>
      </c>
      <c r="G487">
        <v>78</v>
      </c>
      <c r="H487">
        <v>59</v>
      </c>
      <c r="I487">
        <v>319</v>
      </c>
      <c r="J487">
        <v>4</v>
      </c>
      <c r="K487">
        <v>250</v>
      </c>
      <c r="L487">
        <v>3.9</v>
      </c>
      <c r="M487">
        <v>73</v>
      </c>
      <c r="N487">
        <v>21</v>
      </c>
      <c r="O487">
        <v>10</v>
      </c>
      <c r="P487">
        <v>1</v>
      </c>
      <c r="Q487">
        <v>12</v>
      </c>
      <c r="R487">
        <v>2017</v>
      </c>
      <c r="S487">
        <v>28.571428569999998</v>
      </c>
      <c r="T487">
        <v>640</v>
      </c>
      <c r="U487">
        <v>149</v>
      </c>
      <c r="V487">
        <v>4.2</v>
      </c>
      <c r="W487">
        <v>19.100000000000001</v>
      </c>
      <c r="X487">
        <v>108</v>
      </c>
      <c r="Y487">
        <v>4.2</v>
      </c>
      <c r="Z487">
        <v>16.65384615</v>
      </c>
      <c r="AA487">
        <v>185.96</v>
      </c>
      <c r="AB487">
        <v>3.8</v>
      </c>
      <c r="AC487">
        <v>18.686</v>
      </c>
      <c r="AD487">
        <v>78</v>
      </c>
      <c r="AE487">
        <f>Table1[[#This Row],[total_price]]/Table1[[#This Row],[qty]]</f>
        <v>78</v>
      </c>
      <c r="AF487">
        <f t="shared" si="7"/>
        <v>78</v>
      </c>
      <c r="AG487">
        <f>IF(ROW()=2, "", AVERAGE(D$2:D486))</f>
        <v>14.437113402061856</v>
      </c>
    </row>
    <row r="488" spans="1:33" x14ac:dyDescent="0.25">
      <c r="A488" t="s">
        <v>76</v>
      </c>
      <c r="B488" t="s">
        <v>55</v>
      </c>
      <c r="C488" s="1">
        <v>43101</v>
      </c>
      <c r="D488">
        <v>9</v>
      </c>
      <c r="E488">
        <v>702</v>
      </c>
      <c r="F488">
        <v>14.633333329999999</v>
      </c>
      <c r="G488">
        <v>78</v>
      </c>
      <c r="H488">
        <v>59</v>
      </c>
      <c r="I488">
        <v>319</v>
      </c>
      <c r="J488">
        <v>4</v>
      </c>
      <c r="K488">
        <v>250</v>
      </c>
      <c r="L488">
        <v>3.9</v>
      </c>
      <c r="M488">
        <v>59</v>
      </c>
      <c r="N488">
        <v>23</v>
      </c>
      <c r="O488">
        <v>8</v>
      </c>
      <c r="P488">
        <v>2</v>
      </c>
      <c r="Q488">
        <v>1</v>
      </c>
      <c r="R488">
        <v>2018</v>
      </c>
      <c r="S488">
        <v>6.4748201439999997</v>
      </c>
      <c r="T488">
        <v>640</v>
      </c>
      <c r="U488">
        <v>78</v>
      </c>
      <c r="V488">
        <v>3.9</v>
      </c>
      <c r="W488">
        <v>14.633333329999999</v>
      </c>
      <c r="X488">
        <v>108</v>
      </c>
      <c r="Y488">
        <v>4.2</v>
      </c>
      <c r="Z488">
        <v>16.196363640000001</v>
      </c>
      <c r="AA488">
        <v>199</v>
      </c>
      <c r="AB488">
        <v>3.8</v>
      </c>
      <c r="AC488">
        <v>21.88</v>
      </c>
      <c r="AD488">
        <v>78</v>
      </c>
      <c r="AE488">
        <f>Table1[[#This Row],[total_price]]/Table1[[#This Row],[qty]]</f>
        <v>78</v>
      </c>
      <c r="AF488">
        <f t="shared" si="7"/>
        <v>78</v>
      </c>
      <c r="AG488">
        <f>IF(ROW()=2, "", AVERAGE(D$2:D487))</f>
        <v>14.419753086419753</v>
      </c>
    </row>
    <row r="489" spans="1:33" x14ac:dyDescent="0.25">
      <c r="A489" t="s">
        <v>76</v>
      </c>
      <c r="B489" t="s">
        <v>55</v>
      </c>
      <c r="C489" s="1">
        <v>43102</v>
      </c>
      <c r="D489">
        <v>1</v>
      </c>
      <c r="E489">
        <v>78</v>
      </c>
      <c r="F489">
        <v>15.3</v>
      </c>
      <c r="G489">
        <v>78</v>
      </c>
      <c r="H489">
        <v>59</v>
      </c>
      <c r="I489">
        <v>319</v>
      </c>
      <c r="J489">
        <v>4</v>
      </c>
      <c r="K489">
        <v>250</v>
      </c>
      <c r="L489">
        <v>3.9</v>
      </c>
      <c r="M489">
        <v>90</v>
      </c>
      <c r="N489">
        <v>20</v>
      </c>
      <c r="O489">
        <v>8</v>
      </c>
      <c r="P489">
        <v>2</v>
      </c>
      <c r="Q489">
        <v>2</v>
      </c>
      <c r="R489">
        <v>2018</v>
      </c>
      <c r="S489">
        <v>0.71942446000000004</v>
      </c>
      <c r="T489">
        <v>640</v>
      </c>
      <c r="U489">
        <v>128.2416667</v>
      </c>
      <c r="V489">
        <v>4.2</v>
      </c>
      <c r="W489">
        <v>15.926666669999999</v>
      </c>
      <c r="X489">
        <v>108</v>
      </c>
      <c r="Y489">
        <v>4.2</v>
      </c>
      <c r="Z489">
        <v>18.253636360000002</v>
      </c>
      <c r="AA489">
        <v>182</v>
      </c>
      <c r="AB489">
        <v>3.8</v>
      </c>
      <c r="AC489">
        <v>19.329999999999998</v>
      </c>
      <c r="AD489">
        <v>78</v>
      </c>
      <c r="AE489">
        <f>Table1[[#This Row],[total_price]]/Table1[[#This Row],[qty]]</f>
        <v>78</v>
      </c>
      <c r="AF489">
        <f t="shared" si="7"/>
        <v>78</v>
      </c>
      <c r="AG489">
        <f>IF(ROW()=2, "", AVERAGE(D$2:D488))</f>
        <v>14.408624229979466</v>
      </c>
    </row>
    <row r="490" spans="1:33" x14ac:dyDescent="0.25">
      <c r="A490" t="s">
        <v>76</v>
      </c>
      <c r="B490" t="s">
        <v>55</v>
      </c>
      <c r="C490" s="1">
        <v>43103</v>
      </c>
      <c r="D490">
        <v>1</v>
      </c>
      <c r="E490">
        <v>78</v>
      </c>
      <c r="F490">
        <v>19.239999999999998</v>
      </c>
      <c r="G490">
        <v>78</v>
      </c>
      <c r="H490">
        <v>59</v>
      </c>
      <c r="I490">
        <v>319</v>
      </c>
      <c r="J490">
        <v>4</v>
      </c>
      <c r="K490">
        <v>250</v>
      </c>
      <c r="L490">
        <v>3.9</v>
      </c>
      <c r="M490">
        <v>125</v>
      </c>
      <c r="N490">
        <v>22</v>
      </c>
      <c r="O490">
        <v>9</v>
      </c>
      <c r="P490">
        <v>1</v>
      </c>
      <c r="Q490">
        <v>3</v>
      </c>
      <c r="R490">
        <v>2018</v>
      </c>
      <c r="S490">
        <v>2.7406646110000001</v>
      </c>
      <c r="T490">
        <v>640</v>
      </c>
      <c r="U490">
        <v>117.44129030000001</v>
      </c>
      <c r="V490">
        <v>4.2</v>
      </c>
      <c r="W490">
        <v>18.261290320000001</v>
      </c>
      <c r="X490">
        <v>105.6428571</v>
      </c>
      <c r="Y490">
        <v>4.2</v>
      </c>
      <c r="Z490">
        <v>21.6652381</v>
      </c>
      <c r="AA490">
        <v>151.87843749999999</v>
      </c>
      <c r="AB490">
        <v>3.8</v>
      </c>
      <c r="AC490">
        <v>20.313749999999999</v>
      </c>
      <c r="AD490">
        <v>78</v>
      </c>
      <c r="AE490">
        <f>Table1[[#This Row],[total_price]]/Table1[[#This Row],[qty]]</f>
        <v>78</v>
      </c>
      <c r="AF490">
        <f t="shared" si="7"/>
        <v>78</v>
      </c>
      <c r="AG490">
        <f>IF(ROW()=2, "", AVERAGE(D$2:D489))</f>
        <v>14.381147540983607</v>
      </c>
    </row>
    <row r="491" spans="1:33" x14ac:dyDescent="0.25">
      <c r="A491" t="s">
        <v>76</v>
      </c>
      <c r="B491" t="s">
        <v>55</v>
      </c>
      <c r="C491" s="1">
        <v>43104</v>
      </c>
      <c r="D491">
        <v>16</v>
      </c>
      <c r="E491">
        <v>1248</v>
      </c>
      <c r="F491">
        <v>16.645624999999999</v>
      </c>
      <c r="G491">
        <v>78</v>
      </c>
      <c r="H491">
        <v>59</v>
      </c>
      <c r="I491">
        <v>319</v>
      </c>
      <c r="J491">
        <v>4</v>
      </c>
      <c r="K491">
        <v>250</v>
      </c>
      <c r="L491">
        <v>3.9</v>
      </c>
      <c r="M491">
        <v>178</v>
      </c>
      <c r="N491">
        <v>21</v>
      </c>
      <c r="O491">
        <v>9</v>
      </c>
      <c r="P491">
        <v>1</v>
      </c>
      <c r="Q491">
        <v>4</v>
      </c>
      <c r="R491">
        <v>2018</v>
      </c>
      <c r="S491">
        <v>11.51079137</v>
      </c>
      <c r="T491">
        <v>640</v>
      </c>
      <c r="U491">
        <v>105.648625</v>
      </c>
      <c r="V491">
        <v>4.2</v>
      </c>
      <c r="W491">
        <v>2.1816470589999999</v>
      </c>
      <c r="X491">
        <v>105</v>
      </c>
      <c r="Y491">
        <v>4.2</v>
      </c>
      <c r="Z491">
        <v>13.631428570000001</v>
      </c>
      <c r="AA491">
        <v>150.1333333</v>
      </c>
      <c r="AB491">
        <v>3.8</v>
      </c>
      <c r="AC491">
        <v>19.447777779999999</v>
      </c>
      <c r="AD491">
        <v>78</v>
      </c>
      <c r="AE491">
        <f>Table1[[#This Row],[total_price]]/Table1[[#This Row],[qty]]</f>
        <v>78</v>
      </c>
      <c r="AF491">
        <f t="shared" si="7"/>
        <v>78</v>
      </c>
      <c r="AG491">
        <f>IF(ROW()=2, "", AVERAGE(D$2:D490))</f>
        <v>14.353783231083845</v>
      </c>
    </row>
    <row r="492" spans="1:33" x14ac:dyDescent="0.25">
      <c r="A492" t="s">
        <v>76</v>
      </c>
      <c r="B492" t="s">
        <v>55</v>
      </c>
      <c r="C492" s="1">
        <v>43105</v>
      </c>
      <c r="D492">
        <v>5</v>
      </c>
      <c r="E492">
        <v>390</v>
      </c>
      <c r="F492">
        <v>10.24</v>
      </c>
      <c r="G492">
        <v>78</v>
      </c>
      <c r="H492">
        <v>59</v>
      </c>
      <c r="I492">
        <v>319</v>
      </c>
      <c r="J492">
        <v>4</v>
      </c>
      <c r="K492">
        <v>250</v>
      </c>
      <c r="L492">
        <v>3.9</v>
      </c>
      <c r="M492">
        <v>260</v>
      </c>
      <c r="N492">
        <v>23</v>
      </c>
      <c r="O492">
        <v>8</v>
      </c>
      <c r="P492">
        <v>3</v>
      </c>
      <c r="Q492">
        <v>5</v>
      </c>
      <c r="R492">
        <v>2018</v>
      </c>
      <c r="S492">
        <v>3.5971223019999998</v>
      </c>
      <c r="T492">
        <v>640</v>
      </c>
      <c r="U492">
        <v>103.79252339999999</v>
      </c>
      <c r="V492">
        <v>4.2</v>
      </c>
      <c r="W492">
        <v>9.5438596000000001E-2</v>
      </c>
      <c r="X492">
        <v>105</v>
      </c>
      <c r="Y492">
        <v>4.2</v>
      </c>
      <c r="Z492">
        <v>11.3772973</v>
      </c>
      <c r="AA492">
        <v>132.53125</v>
      </c>
      <c r="AB492">
        <v>3.8</v>
      </c>
      <c r="AC492">
        <v>15.7621875</v>
      </c>
      <c r="AD492">
        <v>78</v>
      </c>
      <c r="AE492">
        <f>Table1[[#This Row],[total_price]]/Table1[[#This Row],[qty]]</f>
        <v>78</v>
      </c>
      <c r="AF492">
        <f t="shared" si="7"/>
        <v>78</v>
      </c>
      <c r="AG492">
        <f>IF(ROW()=2, "", AVERAGE(D$2:D491))</f>
        <v>14.357142857142858</v>
      </c>
    </row>
    <row r="493" spans="1:33" x14ac:dyDescent="0.25">
      <c r="A493" t="s">
        <v>76</v>
      </c>
      <c r="B493" t="s">
        <v>55</v>
      </c>
      <c r="C493" s="1">
        <v>43106</v>
      </c>
      <c r="D493">
        <v>39</v>
      </c>
      <c r="E493">
        <v>3042</v>
      </c>
      <c r="F493">
        <v>15.6825641</v>
      </c>
      <c r="G493">
        <v>78</v>
      </c>
      <c r="H493">
        <v>59</v>
      </c>
      <c r="I493">
        <v>319</v>
      </c>
      <c r="J493">
        <v>4</v>
      </c>
      <c r="K493">
        <v>250</v>
      </c>
      <c r="L493">
        <v>3.9</v>
      </c>
      <c r="M493">
        <v>93</v>
      </c>
      <c r="N493">
        <v>21</v>
      </c>
      <c r="O493">
        <v>9</v>
      </c>
      <c r="P493">
        <v>0</v>
      </c>
      <c r="Q493">
        <v>6</v>
      </c>
      <c r="R493">
        <v>2018</v>
      </c>
      <c r="S493">
        <v>21.17163412</v>
      </c>
      <c r="T493">
        <v>640</v>
      </c>
      <c r="U493">
        <v>119</v>
      </c>
      <c r="V493">
        <v>4.2</v>
      </c>
      <c r="W493">
        <v>19.206666670000001</v>
      </c>
      <c r="X493">
        <v>105</v>
      </c>
      <c r="Y493">
        <v>4.2</v>
      </c>
      <c r="Z493">
        <v>23.823571430000001</v>
      </c>
      <c r="AA493">
        <v>138.22</v>
      </c>
      <c r="AB493">
        <v>3.8</v>
      </c>
      <c r="AC493">
        <v>16.108000000000001</v>
      </c>
      <c r="AD493">
        <v>78</v>
      </c>
      <c r="AE493">
        <f>Table1[[#This Row],[total_price]]/Table1[[#This Row],[qty]]</f>
        <v>78</v>
      </c>
      <c r="AF493">
        <f t="shared" si="7"/>
        <v>78</v>
      </c>
      <c r="AG493">
        <f>IF(ROW()=2, "", AVERAGE(D$2:D492))</f>
        <v>14.338085539714868</v>
      </c>
    </row>
    <row r="494" spans="1:33" x14ac:dyDescent="0.25">
      <c r="A494" t="s">
        <v>76</v>
      </c>
      <c r="B494" t="s">
        <v>55</v>
      </c>
      <c r="C494" s="1">
        <v>43107</v>
      </c>
      <c r="D494">
        <v>40</v>
      </c>
      <c r="E494">
        <v>3120</v>
      </c>
      <c r="F494">
        <v>17.979500000000002</v>
      </c>
      <c r="G494">
        <v>78</v>
      </c>
      <c r="H494">
        <v>59</v>
      </c>
      <c r="I494">
        <v>319</v>
      </c>
      <c r="J494">
        <v>4</v>
      </c>
      <c r="K494">
        <v>250</v>
      </c>
      <c r="L494">
        <v>3.9</v>
      </c>
      <c r="M494">
        <v>122</v>
      </c>
      <c r="N494">
        <v>22</v>
      </c>
      <c r="O494">
        <v>9</v>
      </c>
      <c r="P494">
        <v>1</v>
      </c>
      <c r="Q494">
        <v>7</v>
      </c>
      <c r="R494">
        <v>2018</v>
      </c>
      <c r="S494">
        <v>16.76944159</v>
      </c>
      <c r="T494">
        <v>640</v>
      </c>
      <c r="U494">
        <v>118.3636364</v>
      </c>
      <c r="V494">
        <v>4.2</v>
      </c>
      <c r="W494">
        <v>15.48</v>
      </c>
      <c r="X494">
        <v>105</v>
      </c>
      <c r="Y494">
        <v>4.2</v>
      </c>
      <c r="Z494">
        <v>24.938749999999999</v>
      </c>
      <c r="AA494">
        <v>155</v>
      </c>
      <c r="AB494">
        <v>3.8</v>
      </c>
      <c r="AC494">
        <v>16.47</v>
      </c>
      <c r="AD494">
        <v>78</v>
      </c>
      <c r="AE494">
        <f>Table1[[#This Row],[total_price]]/Table1[[#This Row],[qty]]</f>
        <v>78</v>
      </c>
      <c r="AF494">
        <f t="shared" si="7"/>
        <v>78</v>
      </c>
      <c r="AG494">
        <f>IF(ROW()=2, "", AVERAGE(D$2:D493))</f>
        <v>14.388211382113822</v>
      </c>
    </row>
    <row r="495" spans="1:33" x14ac:dyDescent="0.25">
      <c r="A495" t="s">
        <v>76</v>
      </c>
      <c r="B495" t="s">
        <v>55</v>
      </c>
      <c r="C495" s="1">
        <v>43108</v>
      </c>
      <c r="D495">
        <v>28</v>
      </c>
      <c r="E495">
        <v>2179</v>
      </c>
      <c r="F495">
        <v>13.09035714</v>
      </c>
      <c r="G495">
        <v>77.821428569999995</v>
      </c>
      <c r="H495">
        <v>59</v>
      </c>
      <c r="I495">
        <v>319</v>
      </c>
      <c r="J495">
        <v>4</v>
      </c>
      <c r="K495">
        <v>250</v>
      </c>
      <c r="L495">
        <v>3.9</v>
      </c>
      <c r="M495">
        <v>61</v>
      </c>
      <c r="N495">
        <v>23</v>
      </c>
      <c r="O495">
        <v>8</v>
      </c>
      <c r="P495">
        <v>1</v>
      </c>
      <c r="Q495">
        <v>8</v>
      </c>
      <c r="R495">
        <v>2018</v>
      </c>
      <c r="S495">
        <v>21.976704349999999</v>
      </c>
      <c r="T495">
        <v>640</v>
      </c>
      <c r="U495">
        <v>112</v>
      </c>
      <c r="V495">
        <v>4.2</v>
      </c>
      <c r="W495">
        <v>13.44</v>
      </c>
      <c r="X495">
        <v>105</v>
      </c>
      <c r="Y495">
        <v>4.2</v>
      </c>
      <c r="Z495">
        <v>23.385714289999999</v>
      </c>
      <c r="AA495">
        <v>145.55090910000001</v>
      </c>
      <c r="AB495">
        <v>3.8</v>
      </c>
      <c r="AC495">
        <v>21.897272730000001</v>
      </c>
      <c r="AD495">
        <v>78</v>
      </c>
      <c r="AE495">
        <f>Table1[[#This Row],[total_price]]/Table1[[#This Row],[qty]]</f>
        <v>77.821428571428569</v>
      </c>
      <c r="AF495">
        <f t="shared" si="7"/>
        <v>78</v>
      </c>
      <c r="AG495">
        <f>IF(ROW()=2, "", AVERAGE(D$2:D494))</f>
        <v>14.440162271805274</v>
      </c>
    </row>
    <row r="496" spans="1:33" x14ac:dyDescent="0.25">
      <c r="A496" t="s">
        <v>77</v>
      </c>
      <c r="B496" t="s">
        <v>68</v>
      </c>
      <c r="C496" s="1">
        <v>42742</v>
      </c>
      <c r="D496">
        <v>5</v>
      </c>
      <c r="E496">
        <v>375</v>
      </c>
      <c r="F496">
        <v>15.856</v>
      </c>
      <c r="G496">
        <v>75</v>
      </c>
      <c r="H496">
        <v>44</v>
      </c>
      <c r="I496">
        <v>903</v>
      </c>
      <c r="J496">
        <v>6</v>
      </c>
      <c r="K496">
        <v>2600</v>
      </c>
      <c r="L496">
        <v>4.0999999999999996</v>
      </c>
      <c r="M496">
        <v>5</v>
      </c>
      <c r="N496">
        <v>21</v>
      </c>
      <c r="O496">
        <v>10</v>
      </c>
      <c r="P496">
        <v>1</v>
      </c>
      <c r="Q496">
        <v>7</v>
      </c>
      <c r="R496">
        <v>2017</v>
      </c>
      <c r="S496">
        <v>2.4351132070000001</v>
      </c>
      <c r="T496">
        <v>15000</v>
      </c>
      <c r="U496">
        <v>75</v>
      </c>
      <c r="V496">
        <v>4.0999999999999996</v>
      </c>
      <c r="W496">
        <v>15.856</v>
      </c>
      <c r="X496">
        <v>38.4</v>
      </c>
      <c r="Y496">
        <v>3.7</v>
      </c>
      <c r="Z496">
        <v>7.78</v>
      </c>
      <c r="AA496">
        <v>75</v>
      </c>
      <c r="AB496">
        <v>4.0999999999999996</v>
      </c>
      <c r="AC496">
        <v>15.856</v>
      </c>
      <c r="AD496">
        <v>74.95</v>
      </c>
      <c r="AE496">
        <f>Table1[[#This Row],[total_price]]/Table1[[#This Row],[qty]]</f>
        <v>75</v>
      </c>
      <c r="AF496" t="str">
        <f t="shared" si="7"/>
        <v/>
      </c>
      <c r="AG496">
        <f>IF(ROW()=2, "", AVERAGE(D$2:D495))</f>
        <v>14.467611336032389</v>
      </c>
    </row>
    <row r="497" spans="1:33" x14ac:dyDescent="0.25">
      <c r="A497" t="s">
        <v>77</v>
      </c>
      <c r="B497" t="s">
        <v>68</v>
      </c>
      <c r="C497" s="1">
        <v>42743</v>
      </c>
      <c r="D497">
        <v>13</v>
      </c>
      <c r="E497">
        <v>975</v>
      </c>
      <c r="F497">
        <v>15.376923079999999</v>
      </c>
      <c r="G497">
        <v>75</v>
      </c>
      <c r="H497">
        <v>44</v>
      </c>
      <c r="I497">
        <v>903</v>
      </c>
      <c r="J497">
        <v>6</v>
      </c>
      <c r="K497">
        <v>2600</v>
      </c>
      <c r="L497">
        <v>4.0999999999999996</v>
      </c>
      <c r="M497">
        <v>14</v>
      </c>
      <c r="N497">
        <v>23</v>
      </c>
      <c r="O497">
        <v>8</v>
      </c>
      <c r="P497">
        <v>1</v>
      </c>
      <c r="Q497">
        <v>8</v>
      </c>
      <c r="R497">
        <v>2017</v>
      </c>
      <c r="S497">
        <v>6.0649505120000002</v>
      </c>
      <c r="T497">
        <v>15000</v>
      </c>
      <c r="U497">
        <v>75</v>
      </c>
      <c r="V497">
        <v>4.0999999999999996</v>
      </c>
      <c r="W497">
        <v>15.376923079999999</v>
      </c>
      <c r="X497">
        <v>38.4</v>
      </c>
      <c r="Y497">
        <v>3.7</v>
      </c>
      <c r="Z497">
        <v>12.105</v>
      </c>
      <c r="AA497">
        <v>75</v>
      </c>
      <c r="AB497">
        <v>4.0999999999999996</v>
      </c>
      <c r="AC497">
        <v>15.376923079999999</v>
      </c>
      <c r="AD497">
        <v>75</v>
      </c>
      <c r="AE497">
        <f>Table1[[#This Row],[total_price]]/Table1[[#This Row],[qty]]</f>
        <v>75</v>
      </c>
      <c r="AF497">
        <f t="shared" si="7"/>
        <v>75</v>
      </c>
      <c r="AG497">
        <f>IF(ROW()=2, "", AVERAGE(D$2:D496))</f>
        <v>14.448484848484849</v>
      </c>
    </row>
    <row r="498" spans="1:33" x14ac:dyDescent="0.25">
      <c r="A498" t="s">
        <v>77</v>
      </c>
      <c r="B498" t="s">
        <v>68</v>
      </c>
      <c r="C498" s="1">
        <v>42745</v>
      </c>
      <c r="D498">
        <v>5</v>
      </c>
      <c r="E498">
        <v>375</v>
      </c>
      <c r="F498">
        <v>13.64</v>
      </c>
      <c r="G498">
        <v>75</v>
      </c>
      <c r="H498">
        <v>44</v>
      </c>
      <c r="I498">
        <v>903</v>
      </c>
      <c r="J498">
        <v>6</v>
      </c>
      <c r="K498">
        <v>2600</v>
      </c>
      <c r="L498">
        <v>4.0999999999999996</v>
      </c>
      <c r="M498">
        <v>17</v>
      </c>
      <c r="N498">
        <v>22</v>
      </c>
      <c r="O498">
        <v>9</v>
      </c>
      <c r="P498">
        <v>2</v>
      </c>
      <c r="Q498">
        <v>10</v>
      </c>
      <c r="R498">
        <v>2017</v>
      </c>
      <c r="S498">
        <v>4.3859649120000004</v>
      </c>
      <c r="T498">
        <v>15000</v>
      </c>
      <c r="U498">
        <v>75</v>
      </c>
      <c r="V498">
        <v>4.0999999999999996</v>
      </c>
      <c r="W498">
        <v>13.64</v>
      </c>
      <c r="X498">
        <v>38.4</v>
      </c>
      <c r="Y498">
        <v>3.7</v>
      </c>
      <c r="Z498">
        <v>13.98</v>
      </c>
      <c r="AA498">
        <v>75</v>
      </c>
      <c r="AB498">
        <v>4.0999999999999996</v>
      </c>
      <c r="AC498">
        <v>13.64</v>
      </c>
      <c r="AD498">
        <v>74.95</v>
      </c>
      <c r="AE498">
        <f>Table1[[#This Row],[total_price]]/Table1[[#This Row],[qty]]</f>
        <v>75</v>
      </c>
      <c r="AF498">
        <f t="shared" si="7"/>
        <v>75</v>
      </c>
      <c r="AG498">
        <f>IF(ROW()=2, "", AVERAGE(D$2:D497))</f>
        <v>14.445564516129032</v>
      </c>
    </row>
    <row r="499" spans="1:33" x14ac:dyDescent="0.25">
      <c r="A499" t="s">
        <v>77</v>
      </c>
      <c r="B499" t="s">
        <v>68</v>
      </c>
      <c r="C499" s="1">
        <v>42746</v>
      </c>
      <c r="D499">
        <v>44</v>
      </c>
      <c r="E499">
        <v>3300</v>
      </c>
      <c r="F499">
        <v>16.13272727</v>
      </c>
      <c r="G499">
        <v>75</v>
      </c>
      <c r="H499">
        <v>44</v>
      </c>
      <c r="I499">
        <v>903</v>
      </c>
      <c r="J499">
        <v>6</v>
      </c>
      <c r="K499">
        <v>2600</v>
      </c>
      <c r="L499">
        <v>4.0999999999999996</v>
      </c>
      <c r="M499">
        <v>64</v>
      </c>
      <c r="N499">
        <v>22</v>
      </c>
      <c r="O499">
        <v>8</v>
      </c>
      <c r="P499">
        <v>4</v>
      </c>
      <c r="Q499">
        <v>11</v>
      </c>
      <c r="R499">
        <v>2017</v>
      </c>
      <c r="S499">
        <v>38.596491229999998</v>
      </c>
      <c r="T499">
        <v>15000</v>
      </c>
      <c r="U499">
        <v>75</v>
      </c>
      <c r="V499">
        <v>4.0999999999999996</v>
      </c>
      <c r="W499">
        <v>16.13272727</v>
      </c>
      <c r="X499">
        <v>36.854285709999999</v>
      </c>
      <c r="Y499">
        <v>3.7</v>
      </c>
      <c r="Z499">
        <v>13.65214286</v>
      </c>
      <c r="AA499">
        <v>99.9</v>
      </c>
      <c r="AB499">
        <v>4.4000000000000004</v>
      </c>
      <c r="AC499">
        <v>21.19</v>
      </c>
      <c r="AD499">
        <v>75</v>
      </c>
      <c r="AE499">
        <f>Table1[[#This Row],[total_price]]/Table1[[#This Row],[qty]]</f>
        <v>75</v>
      </c>
      <c r="AF499">
        <f t="shared" si="7"/>
        <v>75</v>
      </c>
      <c r="AG499">
        <f>IF(ROW()=2, "", AVERAGE(D$2:D498))</f>
        <v>14.426559356136821</v>
      </c>
    </row>
    <row r="500" spans="1:33" x14ac:dyDescent="0.25">
      <c r="A500" t="s">
        <v>77</v>
      </c>
      <c r="B500" t="s">
        <v>68</v>
      </c>
      <c r="C500" s="1">
        <v>42747</v>
      </c>
      <c r="D500">
        <v>47</v>
      </c>
      <c r="E500">
        <v>3525</v>
      </c>
      <c r="F500">
        <v>17.446382979999999</v>
      </c>
      <c r="G500">
        <v>75</v>
      </c>
      <c r="H500">
        <v>44</v>
      </c>
      <c r="I500">
        <v>903</v>
      </c>
      <c r="J500">
        <v>6</v>
      </c>
      <c r="K500">
        <v>2600</v>
      </c>
      <c r="L500">
        <v>4.0999999999999996</v>
      </c>
      <c r="M500">
        <v>40</v>
      </c>
      <c r="N500">
        <v>21</v>
      </c>
      <c r="O500">
        <v>10</v>
      </c>
      <c r="P500">
        <v>1</v>
      </c>
      <c r="Q500">
        <v>12</v>
      </c>
      <c r="R500">
        <v>2017</v>
      </c>
      <c r="S500">
        <v>41.228070180000003</v>
      </c>
      <c r="T500">
        <v>15000</v>
      </c>
      <c r="U500">
        <v>75</v>
      </c>
      <c r="V500">
        <v>4.0999999999999996</v>
      </c>
      <c r="W500">
        <v>17.446382979999999</v>
      </c>
      <c r="X500">
        <v>75</v>
      </c>
      <c r="Y500">
        <v>4.0999999999999996</v>
      </c>
      <c r="Z500">
        <v>17.446382979999999</v>
      </c>
      <c r="AA500">
        <v>99.9</v>
      </c>
      <c r="AB500">
        <v>4.4000000000000004</v>
      </c>
      <c r="AC500">
        <v>20.646666669999998</v>
      </c>
      <c r="AD500">
        <v>75</v>
      </c>
      <c r="AE500">
        <f>Table1[[#This Row],[total_price]]/Table1[[#This Row],[qty]]</f>
        <v>75</v>
      </c>
      <c r="AF500">
        <f t="shared" si="7"/>
        <v>75</v>
      </c>
      <c r="AG500">
        <f>IF(ROW()=2, "", AVERAGE(D$2:D499))</f>
        <v>14.485943775100402</v>
      </c>
    </row>
    <row r="501" spans="1:33" x14ac:dyDescent="0.25">
      <c r="A501" t="s">
        <v>77</v>
      </c>
      <c r="B501" t="s">
        <v>68</v>
      </c>
      <c r="C501" s="1">
        <v>43101</v>
      </c>
      <c r="D501">
        <v>122</v>
      </c>
      <c r="E501">
        <v>8538</v>
      </c>
      <c r="F501">
        <v>17.663114749999998</v>
      </c>
      <c r="G501">
        <v>69.995327099999997</v>
      </c>
      <c r="H501">
        <v>44</v>
      </c>
      <c r="I501">
        <v>903</v>
      </c>
      <c r="J501">
        <v>6</v>
      </c>
      <c r="K501">
        <v>2600</v>
      </c>
      <c r="L501">
        <v>4.0999999999999996</v>
      </c>
      <c r="M501">
        <v>125</v>
      </c>
      <c r="N501">
        <v>23</v>
      </c>
      <c r="O501">
        <v>8</v>
      </c>
      <c r="P501">
        <v>2</v>
      </c>
      <c r="Q501">
        <v>1</v>
      </c>
      <c r="R501">
        <v>2018</v>
      </c>
      <c r="S501">
        <v>29.539951569999999</v>
      </c>
      <c r="T501">
        <v>15000</v>
      </c>
      <c r="U501">
        <v>69.995327099999997</v>
      </c>
      <c r="V501">
        <v>4.0999999999999996</v>
      </c>
      <c r="W501">
        <v>17.663114749999998</v>
      </c>
      <c r="X501">
        <v>38.4</v>
      </c>
      <c r="Y501">
        <v>3.7</v>
      </c>
      <c r="Z501">
        <v>9.34</v>
      </c>
      <c r="AA501">
        <v>99.9</v>
      </c>
      <c r="AB501">
        <v>4.4000000000000004</v>
      </c>
      <c r="AC501">
        <v>22.819230770000001</v>
      </c>
      <c r="AD501">
        <v>75</v>
      </c>
      <c r="AE501">
        <f>Table1[[#This Row],[total_price]]/Table1[[#This Row],[qty]]</f>
        <v>69.983606557377044</v>
      </c>
      <c r="AF501">
        <f t="shared" si="7"/>
        <v>75</v>
      </c>
      <c r="AG501">
        <f>IF(ROW()=2, "", AVERAGE(D$2:D500))</f>
        <v>14.551102204408817</v>
      </c>
    </row>
    <row r="502" spans="1:33" x14ac:dyDescent="0.25">
      <c r="A502" t="s">
        <v>77</v>
      </c>
      <c r="B502" t="s">
        <v>68</v>
      </c>
      <c r="C502" s="1">
        <v>43102</v>
      </c>
      <c r="D502">
        <v>44</v>
      </c>
      <c r="E502">
        <v>3075.6</v>
      </c>
      <c r="F502">
        <v>16.115909089999999</v>
      </c>
      <c r="G502">
        <v>69.900000000000006</v>
      </c>
      <c r="H502">
        <v>44</v>
      </c>
      <c r="I502">
        <v>903</v>
      </c>
      <c r="J502">
        <v>6</v>
      </c>
      <c r="K502">
        <v>2600</v>
      </c>
      <c r="L502">
        <v>4.0999999999999996</v>
      </c>
      <c r="M502">
        <v>52</v>
      </c>
      <c r="N502">
        <v>20</v>
      </c>
      <c r="O502">
        <v>8</v>
      </c>
      <c r="P502">
        <v>2</v>
      </c>
      <c r="Q502">
        <v>2</v>
      </c>
      <c r="R502">
        <v>2018</v>
      </c>
      <c r="S502">
        <v>10.653753030000001</v>
      </c>
      <c r="T502">
        <v>15000</v>
      </c>
      <c r="U502">
        <v>69.900000000000006</v>
      </c>
      <c r="V502">
        <v>4.0999999999999996</v>
      </c>
      <c r="W502">
        <v>16.115909089999999</v>
      </c>
      <c r="X502">
        <v>38.4</v>
      </c>
      <c r="Y502">
        <v>3.7</v>
      </c>
      <c r="Z502">
        <v>18.685555560000001</v>
      </c>
      <c r="AA502">
        <v>99.9</v>
      </c>
      <c r="AB502">
        <v>4.4000000000000004</v>
      </c>
      <c r="AC502">
        <v>28.89076923</v>
      </c>
      <c r="AD502">
        <v>69.995327099999997</v>
      </c>
      <c r="AE502">
        <f>Table1[[#This Row],[total_price]]/Table1[[#This Row],[qty]]</f>
        <v>69.899999999999991</v>
      </c>
      <c r="AF502">
        <f t="shared" si="7"/>
        <v>69.983606557377044</v>
      </c>
      <c r="AG502">
        <f>IF(ROW()=2, "", AVERAGE(D$2:D501))</f>
        <v>14.766</v>
      </c>
    </row>
    <row r="503" spans="1:33" x14ac:dyDescent="0.25">
      <c r="A503" t="s">
        <v>77</v>
      </c>
      <c r="B503" t="s">
        <v>68</v>
      </c>
      <c r="C503" s="1">
        <v>43103</v>
      </c>
      <c r="D503">
        <v>65</v>
      </c>
      <c r="E503">
        <v>4543.5</v>
      </c>
      <c r="F503">
        <v>18.425076919999999</v>
      </c>
      <c r="G503">
        <v>69.900000000000006</v>
      </c>
      <c r="H503">
        <v>44</v>
      </c>
      <c r="I503">
        <v>903</v>
      </c>
      <c r="J503">
        <v>6</v>
      </c>
      <c r="K503">
        <v>2600</v>
      </c>
      <c r="L503">
        <v>4.0999999999999996</v>
      </c>
      <c r="M503">
        <v>83</v>
      </c>
      <c r="N503">
        <v>22</v>
      </c>
      <c r="O503">
        <v>9</v>
      </c>
      <c r="P503">
        <v>1</v>
      </c>
      <c r="Q503">
        <v>3</v>
      </c>
      <c r="R503">
        <v>2018</v>
      </c>
      <c r="S503">
        <v>15.73849879</v>
      </c>
      <c r="T503">
        <v>15000</v>
      </c>
      <c r="U503">
        <v>69.900000000000006</v>
      </c>
      <c r="V503">
        <v>4.0999999999999996</v>
      </c>
      <c r="W503">
        <v>18.425076919999999</v>
      </c>
      <c r="X503">
        <v>35.485714289999997</v>
      </c>
      <c r="Y503">
        <v>3.7</v>
      </c>
      <c r="Z503">
        <v>15.44823529</v>
      </c>
      <c r="AA503">
        <v>99.9</v>
      </c>
      <c r="AB503">
        <v>4.4000000000000004</v>
      </c>
      <c r="AC503">
        <v>22.145833329999999</v>
      </c>
      <c r="AD503">
        <v>69.900000000000006</v>
      </c>
      <c r="AE503">
        <f>Table1[[#This Row],[total_price]]/Table1[[#This Row],[qty]]</f>
        <v>69.900000000000006</v>
      </c>
      <c r="AF503">
        <f t="shared" si="7"/>
        <v>69.899999999999991</v>
      </c>
      <c r="AG503">
        <f>IF(ROW()=2, "", AVERAGE(D$2:D502))</f>
        <v>14.82435129740519</v>
      </c>
    </row>
    <row r="504" spans="1:33" x14ac:dyDescent="0.25">
      <c r="A504" t="s">
        <v>77</v>
      </c>
      <c r="B504" t="s">
        <v>68</v>
      </c>
      <c r="C504" s="1">
        <v>43104</v>
      </c>
      <c r="D504">
        <v>83</v>
      </c>
      <c r="E504">
        <v>5801.7</v>
      </c>
      <c r="F504">
        <v>9.0715662649999995</v>
      </c>
      <c r="G504">
        <v>69.900000000000006</v>
      </c>
      <c r="H504">
        <v>44</v>
      </c>
      <c r="I504">
        <v>903</v>
      </c>
      <c r="J504">
        <v>6</v>
      </c>
      <c r="K504">
        <v>2600</v>
      </c>
      <c r="L504">
        <v>4.0999999999999996</v>
      </c>
      <c r="M504">
        <v>92</v>
      </c>
      <c r="N504">
        <v>21</v>
      </c>
      <c r="O504">
        <v>9</v>
      </c>
      <c r="P504">
        <v>1</v>
      </c>
      <c r="Q504">
        <v>4</v>
      </c>
      <c r="R504">
        <v>2018</v>
      </c>
      <c r="S504">
        <v>20.096852299999998</v>
      </c>
      <c r="T504">
        <v>15000</v>
      </c>
      <c r="U504">
        <v>69.900000000000006</v>
      </c>
      <c r="V504">
        <v>4.0999999999999996</v>
      </c>
      <c r="W504">
        <v>9.0715662649999995</v>
      </c>
      <c r="X504">
        <v>35</v>
      </c>
      <c r="Y504">
        <v>3.7</v>
      </c>
      <c r="Z504">
        <v>13.46941176</v>
      </c>
      <c r="AA504">
        <v>99.9</v>
      </c>
      <c r="AB504">
        <v>4.4000000000000004</v>
      </c>
      <c r="AC504">
        <v>23.32769231</v>
      </c>
      <c r="AD504">
        <v>69.900000000000006</v>
      </c>
      <c r="AE504">
        <f>Table1[[#This Row],[total_price]]/Table1[[#This Row],[qty]]</f>
        <v>69.899999999999991</v>
      </c>
      <c r="AF504">
        <f t="shared" si="7"/>
        <v>69.900000000000006</v>
      </c>
      <c r="AG504">
        <f>IF(ROW()=2, "", AVERAGE(D$2:D503))</f>
        <v>14.924302788844621</v>
      </c>
    </row>
    <row r="505" spans="1:33" x14ac:dyDescent="0.25">
      <c r="A505" t="s">
        <v>77</v>
      </c>
      <c r="B505" t="s">
        <v>68</v>
      </c>
      <c r="C505" s="1">
        <v>43105</v>
      </c>
      <c r="D505">
        <v>92</v>
      </c>
      <c r="E505">
        <v>6430.8</v>
      </c>
      <c r="F505">
        <v>3.8016304349999999</v>
      </c>
      <c r="G505">
        <v>69.900000000000006</v>
      </c>
      <c r="H505">
        <v>44</v>
      </c>
      <c r="I505">
        <v>903</v>
      </c>
      <c r="J505">
        <v>6</v>
      </c>
      <c r="K505">
        <v>2600</v>
      </c>
      <c r="L505">
        <v>4.0999999999999996</v>
      </c>
      <c r="M505">
        <v>95</v>
      </c>
      <c r="N505">
        <v>23</v>
      </c>
      <c r="O505">
        <v>8</v>
      </c>
      <c r="P505">
        <v>3</v>
      </c>
      <c r="Q505">
        <v>5</v>
      </c>
      <c r="R505">
        <v>2018</v>
      </c>
      <c r="S505">
        <v>22.276029059999999</v>
      </c>
      <c r="T505">
        <v>15000</v>
      </c>
      <c r="U505">
        <v>69.900000000000006</v>
      </c>
      <c r="V505">
        <v>4.0999999999999996</v>
      </c>
      <c r="W505">
        <v>3.8016304349999999</v>
      </c>
      <c r="X505">
        <v>35</v>
      </c>
      <c r="Y505">
        <v>3.7</v>
      </c>
      <c r="Z505">
        <v>14.634545449999999</v>
      </c>
      <c r="AA505">
        <v>99.9</v>
      </c>
      <c r="AB505">
        <v>4.4000000000000004</v>
      </c>
      <c r="AC505">
        <v>19.41076923</v>
      </c>
      <c r="AD505">
        <v>69.900000000000006</v>
      </c>
      <c r="AE505">
        <f>Table1[[#This Row],[total_price]]/Table1[[#This Row],[qty]]</f>
        <v>69.900000000000006</v>
      </c>
      <c r="AF505">
        <f t="shared" si="7"/>
        <v>69.899999999999991</v>
      </c>
      <c r="AG505">
        <f>IF(ROW()=2, "", AVERAGE(D$2:D504))</f>
        <v>15.059642147117296</v>
      </c>
    </row>
    <row r="506" spans="1:33" x14ac:dyDescent="0.25">
      <c r="A506" t="s">
        <v>77</v>
      </c>
      <c r="B506" t="s">
        <v>68</v>
      </c>
      <c r="C506" s="1">
        <v>43106</v>
      </c>
      <c r="D506">
        <v>2</v>
      </c>
      <c r="E506">
        <v>179.8</v>
      </c>
      <c r="F506">
        <v>21.93</v>
      </c>
      <c r="G506">
        <v>89.9</v>
      </c>
      <c r="H506">
        <v>44</v>
      </c>
      <c r="I506">
        <v>903</v>
      </c>
      <c r="J506">
        <v>6</v>
      </c>
      <c r="K506">
        <v>2600</v>
      </c>
      <c r="L506">
        <v>4.0999999999999996</v>
      </c>
      <c r="M506">
        <v>18</v>
      </c>
      <c r="N506">
        <v>21</v>
      </c>
      <c r="O506">
        <v>9</v>
      </c>
      <c r="P506">
        <v>0</v>
      </c>
      <c r="Q506">
        <v>6</v>
      </c>
      <c r="R506">
        <v>2018</v>
      </c>
      <c r="S506">
        <v>0.48426150099999998</v>
      </c>
      <c r="T506">
        <v>15000</v>
      </c>
      <c r="U506">
        <v>89.9</v>
      </c>
      <c r="V506">
        <v>4.0999999999999996</v>
      </c>
      <c r="W506">
        <v>21.93</v>
      </c>
      <c r="X506">
        <v>35</v>
      </c>
      <c r="Y506">
        <v>3.7</v>
      </c>
      <c r="Z506">
        <v>18.10153846</v>
      </c>
      <c r="AA506">
        <v>99.9</v>
      </c>
      <c r="AB506">
        <v>4.4000000000000004</v>
      </c>
      <c r="AC506">
        <v>25.635999999999999</v>
      </c>
      <c r="AD506">
        <v>69.900000000000006</v>
      </c>
      <c r="AE506">
        <f>Table1[[#This Row],[total_price]]/Table1[[#This Row],[qty]]</f>
        <v>89.9</v>
      </c>
      <c r="AF506">
        <f t="shared" si="7"/>
        <v>69.900000000000006</v>
      </c>
      <c r="AG506">
        <f>IF(ROW()=2, "", AVERAGE(D$2:D505))</f>
        <v>15.212301587301587</v>
      </c>
    </row>
    <row r="507" spans="1:33" x14ac:dyDescent="0.25">
      <c r="A507" t="s">
        <v>77</v>
      </c>
      <c r="B507" t="s">
        <v>68</v>
      </c>
      <c r="C507" s="1">
        <v>43107</v>
      </c>
      <c r="D507">
        <v>2</v>
      </c>
      <c r="E507">
        <v>179.8</v>
      </c>
      <c r="F507">
        <v>29.79</v>
      </c>
      <c r="G507">
        <v>89.9</v>
      </c>
      <c r="H507">
        <v>44</v>
      </c>
      <c r="I507">
        <v>903</v>
      </c>
      <c r="J507">
        <v>6</v>
      </c>
      <c r="K507">
        <v>2600</v>
      </c>
      <c r="L507">
        <v>4.0999999999999996</v>
      </c>
      <c r="M507">
        <v>22</v>
      </c>
      <c r="N507">
        <v>22</v>
      </c>
      <c r="O507">
        <v>9</v>
      </c>
      <c r="P507">
        <v>1</v>
      </c>
      <c r="Q507">
        <v>7</v>
      </c>
      <c r="R507">
        <v>2018</v>
      </c>
      <c r="S507">
        <v>2.4351132070000001</v>
      </c>
      <c r="T507">
        <v>15000</v>
      </c>
      <c r="U507">
        <v>89.9</v>
      </c>
      <c r="V507">
        <v>4.0999999999999996</v>
      </c>
      <c r="W507">
        <v>29.79</v>
      </c>
      <c r="X507">
        <v>35</v>
      </c>
      <c r="Y507">
        <v>3.7</v>
      </c>
      <c r="Z507">
        <v>17.238</v>
      </c>
      <c r="AA507">
        <v>78.535714290000001</v>
      </c>
      <c r="AB507">
        <v>4.4000000000000004</v>
      </c>
      <c r="AC507">
        <v>23.847142860000002</v>
      </c>
      <c r="AD507">
        <v>89.9</v>
      </c>
      <c r="AE507">
        <f>Table1[[#This Row],[total_price]]/Table1[[#This Row],[qty]]</f>
        <v>89.9</v>
      </c>
      <c r="AF507">
        <f t="shared" si="7"/>
        <v>89.9</v>
      </c>
      <c r="AG507">
        <f>IF(ROW()=2, "", AVERAGE(D$2:D506))</f>
        <v>15.186138613861386</v>
      </c>
    </row>
    <row r="508" spans="1:33" x14ac:dyDescent="0.25">
      <c r="A508" t="s">
        <v>77</v>
      </c>
      <c r="B508" t="s">
        <v>68</v>
      </c>
      <c r="C508" s="1">
        <v>43108</v>
      </c>
      <c r="D508">
        <v>3</v>
      </c>
      <c r="E508">
        <v>309.7</v>
      </c>
      <c r="F508">
        <v>22.3</v>
      </c>
      <c r="G508">
        <v>103.2333333</v>
      </c>
      <c r="H508">
        <v>44</v>
      </c>
      <c r="I508">
        <v>903</v>
      </c>
      <c r="J508">
        <v>6</v>
      </c>
      <c r="K508">
        <v>2600</v>
      </c>
      <c r="L508">
        <v>4.0999999999999996</v>
      </c>
      <c r="M508">
        <v>19</v>
      </c>
      <c r="N508">
        <v>23</v>
      </c>
      <c r="O508">
        <v>8</v>
      </c>
      <c r="P508">
        <v>1</v>
      </c>
      <c r="Q508">
        <v>8</v>
      </c>
      <c r="R508">
        <v>2018</v>
      </c>
      <c r="S508">
        <v>6.0649505120000002</v>
      </c>
      <c r="T508">
        <v>15000</v>
      </c>
      <c r="U508">
        <v>103.2333333</v>
      </c>
      <c r="V508">
        <v>4.0999999999999996</v>
      </c>
      <c r="W508">
        <v>22.3</v>
      </c>
      <c r="X508">
        <v>35</v>
      </c>
      <c r="Y508">
        <v>3.7</v>
      </c>
      <c r="Z508">
        <v>15.628125000000001</v>
      </c>
      <c r="AA508">
        <v>83.833333330000002</v>
      </c>
      <c r="AB508">
        <v>4.4000000000000004</v>
      </c>
      <c r="AC508">
        <v>23.776666670000001</v>
      </c>
      <c r="AD508">
        <v>89.9</v>
      </c>
      <c r="AE508">
        <f>Table1[[#This Row],[total_price]]/Table1[[#This Row],[qty]]</f>
        <v>103.23333333333333</v>
      </c>
      <c r="AF508">
        <f t="shared" si="7"/>
        <v>89.9</v>
      </c>
      <c r="AG508">
        <f>IF(ROW()=2, "", AVERAGE(D$2:D507))</f>
        <v>15.160079051383399</v>
      </c>
    </row>
    <row r="509" spans="1:33" x14ac:dyDescent="0.25">
      <c r="A509" t="s">
        <v>78</v>
      </c>
      <c r="B509" t="s">
        <v>33</v>
      </c>
      <c r="C509" s="1">
        <v>42739</v>
      </c>
      <c r="D509">
        <v>5</v>
      </c>
      <c r="E509">
        <v>299.5</v>
      </c>
      <c r="F509">
        <v>18.652000000000001</v>
      </c>
      <c r="G509">
        <v>59.9</v>
      </c>
      <c r="H509">
        <v>59</v>
      </c>
      <c r="I509">
        <v>341</v>
      </c>
      <c r="J509">
        <v>2</v>
      </c>
      <c r="K509">
        <v>1850</v>
      </c>
      <c r="L509">
        <v>4.3</v>
      </c>
      <c r="M509">
        <v>17</v>
      </c>
      <c r="N509">
        <v>20</v>
      </c>
      <c r="O509">
        <v>10</v>
      </c>
      <c r="P509">
        <v>2</v>
      </c>
      <c r="Q509">
        <v>4</v>
      </c>
      <c r="R509">
        <v>2017</v>
      </c>
      <c r="S509">
        <v>6.5938511330000003</v>
      </c>
      <c r="T509">
        <v>32560</v>
      </c>
      <c r="U509">
        <v>59.9</v>
      </c>
      <c r="V509">
        <v>4.3</v>
      </c>
      <c r="W509">
        <v>18.652000000000001</v>
      </c>
      <c r="X509">
        <v>59.9</v>
      </c>
      <c r="Y509">
        <v>4.3</v>
      </c>
      <c r="Z509">
        <v>18.652000000000001</v>
      </c>
      <c r="AA509">
        <v>59.9</v>
      </c>
      <c r="AB509">
        <v>4.3</v>
      </c>
      <c r="AC509">
        <v>18.652000000000001</v>
      </c>
      <c r="AD509">
        <v>59.85</v>
      </c>
      <c r="AE509">
        <f>Table1[[#This Row],[total_price]]/Table1[[#This Row],[qty]]</f>
        <v>59.9</v>
      </c>
      <c r="AF509" t="str">
        <f t="shared" si="7"/>
        <v/>
      </c>
      <c r="AG509">
        <f>IF(ROW()=2, "", AVERAGE(D$2:D508))</f>
        <v>15.136094674556213</v>
      </c>
    </row>
    <row r="510" spans="1:33" x14ac:dyDescent="0.25">
      <c r="A510" t="s">
        <v>78</v>
      </c>
      <c r="B510" t="s">
        <v>33</v>
      </c>
      <c r="C510" s="1">
        <v>42740</v>
      </c>
      <c r="D510">
        <v>2</v>
      </c>
      <c r="E510">
        <v>119.8</v>
      </c>
      <c r="F510">
        <v>17.670000000000002</v>
      </c>
      <c r="G510">
        <v>59.9</v>
      </c>
      <c r="H510">
        <v>59</v>
      </c>
      <c r="I510">
        <v>341</v>
      </c>
      <c r="J510">
        <v>2</v>
      </c>
      <c r="K510">
        <v>1850</v>
      </c>
      <c r="L510">
        <v>4.3</v>
      </c>
      <c r="M510">
        <v>34</v>
      </c>
      <c r="N510">
        <v>23</v>
      </c>
      <c r="O510">
        <v>8</v>
      </c>
      <c r="P510">
        <v>1</v>
      </c>
      <c r="Q510">
        <v>5</v>
      </c>
      <c r="R510">
        <v>2017</v>
      </c>
      <c r="S510">
        <v>9.3042071199999992</v>
      </c>
      <c r="T510">
        <v>32560</v>
      </c>
      <c r="U510">
        <v>59.9</v>
      </c>
      <c r="V510">
        <v>4.0999999999999996</v>
      </c>
      <c r="W510">
        <v>19.732500000000002</v>
      </c>
      <c r="X510">
        <v>59.9</v>
      </c>
      <c r="Y510">
        <v>4.2</v>
      </c>
      <c r="Z510">
        <v>26.24666667</v>
      </c>
      <c r="AA510">
        <v>59.9</v>
      </c>
      <c r="AB510">
        <v>4.3</v>
      </c>
      <c r="AC510">
        <v>17.670000000000002</v>
      </c>
      <c r="AD510">
        <v>59.9</v>
      </c>
      <c r="AE510">
        <f>Table1[[#This Row],[total_price]]/Table1[[#This Row],[qty]]</f>
        <v>59.9</v>
      </c>
      <c r="AF510">
        <f t="shared" si="7"/>
        <v>59.9</v>
      </c>
      <c r="AG510">
        <f>IF(ROW()=2, "", AVERAGE(D$2:D509))</f>
        <v>15.116141732283465</v>
      </c>
    </row>
    <row r="511" spans="1:33" x14ac:dyDescent="0.25">
      <c r="A511" t="s">
        <v>78</v>
      </c>
      <c r="B511" t="s">
        <v>33</v>
      </c>
      <c r="C511" s="1">
        <v>42741</v>
      </c>
      <c r="D511">
        <v>5</v>
      </c>
      <c r="E511">
        <v>299.5</v>
      </c>
      <c r="F511">
        <v>15.978</v>
      </c>
      <c r="G511">
        <v>59.9</v>
      </c>
      <c r="H511">
        <v>59</v>
      </c>
      <c r="I511">
        <v>341</v>
      </c>
      <c r="J511">
        <v>2</v>
      </c>
      <c r="K511">
        <v>1850</v>
      </c>
      <c r="L511">
        <v>4.3</v>
      </c>
      <c r="M511">
        <v>26</v>
      </c>
      <c r="N511">
        <v>22</v>
      </c>
      <c r="O511">
        <v>8</v>
      </c>
      <c r="P511">
        <v>1</v>
      </c>
      <c r="Q511">
        <v>6</v>
      </c>
      <c r="R511">
        <v>2017</v>
      </c>
      <c r="S511">
        <v>12.843851129999999</v>
      </c>
      <c r="T511">
        <v>32560</v>
      </c>
      <c r="U511">
        <v>59.9</v>
      </c>
      <c r="V511">
        <v>4.0999999999999996</v>
      </c>
      <c r="W511">
        <v>17.670000000000002</v>
      </c>
      <c r="X511">
        <v>59.9</v>
      </c>
      <c r="Y511">
        <v>4.2</v>
      </c>
      <c r="Z511">
        <v>16.260000000000002</v>
      </c>
      <c r="AA511">
        <v>59.9</v>
      </c>
      <c r="AB511">
        <v>4.3</v>
      </c>
      <c r="AC511">
        <v>15.978</v>
      </c>
      <c r="AD511">
        <v>59.9</v>
      </c>
      <c r="AE511">
        <f>Table1[[#This Row],[total_price]]/Table1[[#This Row],[qty]]</f>
        <v>59.9</v>
      </c>
      <c r="AF511">
        <f t="shared" si="7"/>
        <v>59.9</v>
      </c>
      <c r="AG511">
        <f>IF(ROW()=2, "", AVERAGE(D$2:D510))</f>
        <v>15.090373280943025</v>
      </c>
    </row>
    <row r="512" spans="1:33" x14ac:dyDescent="0.25">
      <c r="A512" t="s">
        <v>78</v>
      </c>
      <c r="B512" t="s">
        <v>33</v>
      </c>
      <c r="C512" s="1">
        <v>42742</v>
      </c>
      <c r="D512">
        <v>15</v>
      </c>
      <c r="E512">
        <v>898.5</v>
      </c>
      <c r="F512">
        <v>17.878666670000001</v>
      </c>
      <c r="G512">
        <v>59.9</v>
      </c>
      <c r="H512">
        <v>59</v>
      </c>
      <c r="I512">
        <v>341</v>
      </c>
      <c r="J512">
        <v>2</v>
      </c>
      <c r="K512">
        <v>1850</v>
      </c>
      <c r="L512">
        <v>4.3</v>
      </c>
      <c r="M512">
        <v>74</v>
      </c>
      <c r="N512">
        <v>21</v>
      </c>
      <c r="O512">
        <v>10</v>
      </c>
      <c r="P512">
        <v>1</v>
      </c>
      <c r="Q512">
        <v>7</v>
      </c>
      <c r="R512">
        <v>2017</v>
      </c>
      <c r="S512">
        <v>13.5315534</v>
      </c>
      <c r="T512">
        <v>32560</v>
      </c>
      <c r="U512">
        <v>59.9</v>
      </c>
      <c r="V512">
        <v>4.0999999999999996</v>
      </c>
      <c r="W512">
        <v>16.626428570000002</v>
      </c>
      <c r="X512">
        <v>59.9</v>
      </c>
      <c r="Y512">
        <v>4.2</v>
      </c>
      <c r="Z512">
        <v>16.111578949999998</v>
      </c>
      <c r="AA512">
        <v>59.9</v>
      </c>
      <c r="AB512">
        <v>4.0999999999999996</v>
      </c>
      <c r="AC512">
        <v>15.392307690000001</v>
      </c>
      <c r="AD512">
        <v>59.9</v>
      </c>
      <c r="AE512">
        <f>Table1[[#This Row],[total_price]]/Table1[[#This Row],[qty]]</f>
        <v>59.9</v>
      </c>
      <c r="AF512">
        <f t="shared" si="7"/>
        <v>59.9</v>
      </c>
      <c r="AG512">
        <f>IF(ROW()=2, "", AVERAGE(D$2:D511))</f>
        <v>15.070588235294117</v>
      </c>
    </row>
    <row r="513" spans="1:33" x14ac:dyDescent="0.25">
      <c r="A513" t="s">
        <v>78</v>
      </c>
      <c r="B513" t="s">
        <v>33</v>
      </c>
      <c r="C513" s="1">
        <v>42743</v>
      </c>
      <c r="D513">
        <v>19</v>
      </c>
      <c r="E513">
        <v>1138.0999999999999</v>
      </c>
      <c r="F513">
        <v>16.111578949999998</v>
      </c>
      <c r="G513">
        <v>59.9</v>
      </c>
      <c r="H513">
        <v>59</v>
      </c>
      <c r="I513">
        <v>341</v>
      </c>
      <c r="J513">
        <v>2</v>
      </c>
      <c r="K513">
        <v>1850</v>
      </c>
      <c r="L513">
        <v>4.3</v>
      </c>
      <c r="M513">
        <v>113</v>
      </c>
      <c r="N513">
        <v>23</v>
      </c>
      <c r="O513">
        <v>8</v>
      </c>
      <c r="P513">
        <v>1</v>
      </c>
      <c r="Q513">
        <v>8</v>
      </c>
      <c r="R513">
        <v>2017</v>
      </c>
      <c r="S513">
        <v>15.47330097</v>
      </c>
      <c r="T513">
        <v>32560</v>
      </c>
      <c r="U513">
        <v>59.9</v>
      </c>
      <c r="V513">
        <v>4.0999999999999996</v>
      </c>
      <c r="W513">
        <v>18.162307689999999</v>
      </c>
      <c r="X513">
        <v>59.9</v>
      </c>
      <c r="Y513">
        <v>4.2</v>
      </c>
      <c r="Z513">
        <v>17.68111111</v>
      </c>
      <c r="AA513">
        <v>59.9</v>
      </c>
      <c r="AB513">
        <v>4.0999999999999996</v>
      </c>
      <c r="AC513">
        <v>18.05043478</v>
      </c>
      <c r="AD513">
        <v>59.9</v>
      </c>
      <c r="AE513">
        <f>Table1[[#This Row],[total_price]]/Table1[[#This Row],[qty]]</f>
        <v>59.9</v>
      </c>
      <c r="AF513">
        <f t="shared" si="7"/>
        <v>59.9</v>
      </c>
      <c r="AG513">
        <f>IF(ROW()=2, "", AVERAGE(D$2:D512))</f>
        <v>15.070450097847358</v>
      </c>
    </row>
    <row r="514" spans="1:33" x14ac:dyDescent="0.25">
      <c r="A514" t="s">
        <v>78</v>
      </c>
      <c r="B514" t="s">
        <v>33</v>
      </c>
      <c r="C514" s="1">
        <v>42744</v>
      </c>
      <c r="D514">
        <v>34</v>
      </c>
      <c r="E514">
        <v>2036.6</v>
      </c>
      <c r="F514">
        <v>19.711764710000001</v>
      </c>
      <c r="G514">
        <v>59.9</v>
      </c>
      <c r="H514">
        <v>59</v>
      </c>
      <c r="I514">
        <v>341</v>
      </c>
      <c r="J514">
        <v>2</v>
      </c>
      <c r="K514">
        <v>1850</v>
      </c>
      <c r="L514">
        <v>4.3</v>
      </c>
      <c r="M514">
        <v>115</v>
      </c>
      <c r="N514">
        <v>21</v>
      </c>
      <c r="O514">
        <v>9</v>
      </c>
      <c r="P514">
        <v>1</v>
      </c>
      <c r="Q514">
        <v>9</v>
      </c>
      <c r="R514">
        <v>2017</v>
      </c>
      <c r="S514">
        <v>33.009708740000001</v>
      </c>
      <c r="T514">
        <v>32560</v>
      </c>
      <c r="U514">
        <v>59.9</v>
      </c>
      <c r="V514">
        <v>4.0999999999999996</v>
      </c>
      <c r="W514">
        <v>17.187027029999999</v>
      </c>
      <c r="X514">
        <v>59.9</v>
      </c>
      <c r="Y514">
        <v>4.2</v>
      </c>
      <c r="Z514">
        <v>16.811764709999999</v>
      </c>
      <c r="AA514">
        <v>59.9</v>
      </c>
      <c r="AB514">
        <v>4.0999999999999996</v>
      </c>
      <c r="AC514">
        <v>16.29461538</v>
      </c>
      <c r="AD514">
        <v>59.9</v>
      </c>
      <c r="AE514">
        <f>Table1[[#This Row],[total_price]]/Table1[[#This Row],[qty]]</f>
        <v>59.9</v>
      </c>
      <c r="AF514">
        <f t="shared" ref="AF514:AF577" si="8">IF(A514=A513,AE513,"")</f>
        <v>59.9</v>
      </c>
      <c r="AG514">
        <f>IF(ROW()=2, "", AVERAGE(D$2:D513))</f>
        <v>15.078125</v>
      </c>
    </row>
    <row r="515" spans="1:33" x14ac:dyDescent="0.25">
      <c r="A515" t="s">
        <v>78</v>
      </c>
      <c r="B515" t="s">
        <v>33</v>
      </c>
      <c r="C515" s="1">
        <v>42745</v>
      </c>
      <c r="D515">
        <v>13</v>
      </c>
      <c r="E515">
        <v>778.7</v>
      </c>
      <c r="F515">
        <v>18.981538459999999</v>
      </c>
      <c r="G515">
        <v>59.9</v>
      </c>
      <c r="H515">
        <v>59</v>
      </c>
      <c r="I515">
        <v>341</v>
      </c>
      <c r="J515">
        <v>2</v>
      </c>
      <c r="K515">
        <v>1850</v>
      </c>
      <c r="L515">
        <v>4.3</v>
      </c>
      <c r="M515">
        <v>146</v>
      </c>
      <c r="N515">
        <v>22</v>
      </c>
      <c r="O515">
        <v>9</v>
      </c>
      <c r="P515">
        <v>2</v>
      </c>
      <c r="Q515">
        <v>10</v>
      </c>
      <c r="R515">
        <v>2017</v>
      </c>
      <c r="S515">
        <v>12.62135922</v>
      </c>
      <c r="T515">
        <v>32560</v>
      </c>
      <c r="U515">
        <v>59.9</v>
      </c>
      <c r="V515">
        <v>4.0999999999999996</v>
      </c>
      <c r="W515">
        <v>18.065897440000001</v>
      </c>
      <c r="X515">
        <v>59.9</v>
      </c>
      <c r="Y515">
        <v>4.2</v>
      </c>
      <c r="Z515">
        <v>17.595483869999999</v>
      </c>
      <c r="AA515">
        <v>59.9</v>
      </c>
      <c r="AB515">
        <v>4.0999999999999996</v>
      </c>
      <c r="AC515">
        <v>16.814166669999999</v>
      </c>
      <c r="AD515">
        <v>59.9</v>
      </c>
      <c r="AE515">
        <f>Table1[[#This Row],[total_price]]/Table1[[#This Row],[qty]]</f>
        <v>59.900000000000006</v>
      </c>
      <c r="AF515">
        <f t="shared" si="8"/>
        <v>59.9</v>
      </c>
      <c r="AG515">
        <f>IF(ROW()=2, "", AVERAGE(D$2:D514))</f>
        <v>15.115009746588694</v>
      </c>
    </row>
    <row r="516" spans="1:33" x14ac:dyDescent="0.25">
      <c r="A516" t="s">
        <v>78</v>
      </c>
      <c r="B516" t="s">
        <v>33</v>
      </c>
      <c r="C516" s="1">
        <v>42746</v>
      </c>
      <c r="D516">
        <v>9</v>
      </c>
      <c r="E516">
        <v>495.5</v>
      </c>
      <c r="F516">
        <v>45.696666669999999</v>
      </c>
      <c r="G516">
        <v>54.45</v>
      </c>
      <c r="H516">
        <v>59</v>
      </c>
      <c r="I516">
        <v>341</v>
      </c>
      <c r="J516">
        <v>2</v>
      </c>
      <c r="K516">
        <v>1850</v>
      </c>
      <c r="L516">
        <v>4.3</v>
      </c>
      <c r="M516">
        <v>339</v>
      </c>
      <c r="N516">
        <v>22</v>
      </c>
      <c r="O516">
        <v>8</v>
      </c>
      <c r="P516">
        <v>4</v>
      </c>
      <c r="Q516">
        <v>11</v>
      </c>
      <c r="R516">
        <v>2017</v>
      </c>
      <c r="S516">
        <v>8.7378640779999994</v>
      </c>
      <c r="T516">
        <v>32560</v>
      </c>
      <c r="U516">
        <v>52.406944439999997</v>
      </c>
      <c r="V516">
        <v>4.0999999999999996</v>
      </c>
      <c r="W516">
        <v>17.06747253</v>
      </c>
      <c r="X516">
        <v>53.648281249999997</v>
      </c>
      <c r="Y516">
        <v>4.2</v>
      </c>
      <c r="Z516">
        <v>16.075862069999999</v>
      </c>
      <c r="AA516">
        <v>53.785714290000001</v>
      </c>
      <c r="AB516">
        <v>4.0999999999999996</v>
      </c>
      <c r="AC516">
        <v>18.27550725</v>
      </c>
      <c r="AD516">
        <v>59.9</v>
      </c>
      <c r="AE516">
        <f>Table1[[#This Row],[total_price]]/Table1[[#This Row],[qty]]</f>
        <v>55.055555555555557</v>
      </c>
      <c r="AF516">
        <f t="shared" si="8"/>
        <v>59.900000000000006</v>
      </c>
      <c r="AG516">
        <f>IF(ROW()=2, "", AVERAGE(D$2:D515))</f>
        <v>15.110894941634241</v>
      </c>
    </row>
    <row r="517" spans="1:33" x14ac:dyDescent="0.25">
      <c r="A517" t="s">
        <v>78</v>
      </c>
      <c r="B517" t="s">
        <v>33</v>
      </c>
      <c r="C517" s="1">
        <v>42747</v>
      </c>
      <c r="D517">
        <v>1</v>
      </c>
      <c r="E517">
        <v>49.9</v>
      </c>
      <c r="F517">
        <v>18</v>
      </c>
      <c r="G517">
        <v>49.9</v>
      </c>
      <c r="H517">
        <v>59</v>
      </c>
      <c r="I517">
        <v>341</v>
      </c>
      <c r="J517">
        <v>2</v>
      </c>
      <c r="K517">
        <v>1850</v>
      </c>
      <c r="L517">
        <v>4.3</v>
      </c>
      <c r="M517">
        <v>184</v>
      </c>
      <c r="N517">
        <v>21</v>
      </c>
      <c r="O517">
        <v>10</v>
      </c>
      <c r="P517">
        <v>1</v>
      </c>
      <c r="Q517">
        <v>12</v>
      </c>
      <c r="R517">
        <v>2017</v>
      </c>
      <c r="S517">
        <v>0.97087378599999996</v>
      </c>
      <c r="T517">
        <v>32560</v>
      </c>
      <c r="U517">
        <v>55.1</v>
      </c>
      <c r="V517">
        <v>4.0999999999999996</v>
      </c>
      <c r="W517">
        <v>15.759607839999999</v>
      </c>
      <c r="X517">
        <v>55.424999999999997</v>
      </c>
      <c r="Y517">
        <v>4.2</v>
      </c>
      <c r="Z517">
        <v>19.184374999999999</v>
      </c>
      <c r="AA517">
        <v>55.75</v>
      </c>
      <c r="AB517">
        <v>4.0999999999999996</v>
      </c>
      <c r="AC517">
        <v>17.267272729999998</v>
      </c>
      <c r="AD517">
        <v>54.45</v>
      </c>
      <c r="AE517">
        <f>Table1[[#This Row],[total_price]]/Table1[[#This Row],[qty]]</f>
        <v>49.9</v>
      </c>
      <c r="AF517">
        <f t="shared" si="8"/>
        <v>55.055555555555557</v>
      </c>
      <c r="AG517">
        <f>IF(ROW()=2, "", AVERAGE(D$2:D516))</f>
        <v>15.099029126213592</v>
      </c>
    </row>
    <row r="518" spans="1:33" x14ac:dyDescent="0.25">
      <c r="A518" t="s">
        <v>78</v>
      </c>
      <c r="B518" t="s">
        <v>33</v>
      </c>
      <c r="C518" s="1">
        <v>43101</v>
      </c>
      <c r="D518">
        <v>1</v>
      </c>
      <c r="E518">
        <v>49.9</v>
      </c>
      <c r="F518">
        <v>35.86</v>
      </c>
      <c r="G518">
        <v>49.9</v>
      </c>
      <c r="H518">
        <v>59</v>
      </c>
      <c r="I518">
        <v>341</v>
      </c>
      <c r="J518">
        <v>2</v>
      </c>
      <c r="K518">
        <v>1850</v>
      </c>
      <c r="L518">
        <v>4.3</v>
      </c>
      <c r="M518">
        <v>137</v>
      </c>
      <c r="N518">
        <v>23</v>
      </c>
      <c r="O518">
        <v>8</v>
      </c>
      <c r="P518">
        <v>2</v>
      </c>
      <c r="Q518">
        <v>1</v>
      </c>
      <c r="R518">
        <v>2018</v>
      </c>
      <c r="S518">
        <v>4.1666666670000003</v>
      </c>
      <c r="T518">
        <v>32560</v>
      </c>
      <c r="U518">
        <v>49.9</v>
      </c>
      <c r="V518">
        <v>4.0999999999999996</v>
      </c>
      <c r="W518">
        <v>19.495000000000001</v>
      </c>
      <c r="X518">
        <v>49.9</v>
      </c>
      <c r="Y518">
        <v>4.2</v>
      </c>
      <c r="Z518">
        <v>15.841034479999999</v>
      </c>
      <c r="AA518">
        <v>49.9</v>
      </c>
      <c r="AB518">
        <v>4.0999999999999996</v>
      </c>
      <c r="AC518">
        <v>16.505128209999999</v>
      </c>
      <c r="AD518">
        <v>49.9</v>
      </c>
      <c r="AE518">
        <f>Table1[[#This Row],[total_price]]/Table1[[#This Row],[qty]]</f>
        <v>49.9</v>
      </c>
      <c r="AF518">
        <f t="shared" si="8"/>
        <v>49.9</v>
      </c>
      <c r="AG518">
        <f>IF(ROW()=2, "", AVERAGE(D$2:D517))</f>
        <v>15.071705426356589</v>
      </c>
    </row>
    <row r="519" spans="1:33" x14ac:dyDescent="0.25">
      <c r="A519" t="s">
        <v>78</v>
      </c>
      <c r="B519" t="s">
        <v>33</v>
      </c>
      <c r="C519" s="1">
        <v>43102</v>
      </c>
      <c r="D519">
        <v>4</v>
      </c>
      <c r="E519">
        <v>203.6</v>
      </c>
      <c r="F519">
        <v>33.524999999999999</v>
      </c>
      <c r="G519">
        <v>51.233333330000001</v>
      </c>
      <c r="H519">
        <v>59</v>
      </c>
      <c r="I519">
        <v>341</v>
      </c>
      <c r="J519">
        <v>2</v>
      </c>
      <c r="K519">
        <v>1850</v>
      </c>
      <c r="L519">
        <v>4.3</v>
      </c>
      <c r="M519">
        <v>160</v>
      </c>
      <c r="N519">
        <v>20</v>
      </c>
      <c r="O519">
        <v>8</v>
      </c>
      <c r="P519">
        <v>2</v>
      </c>
      <c r="Q519">
        <v>2</v>
      </c>
      <c r="R519">
        <v>2018</v>
      </c>
      <c r="S519">
        <v>16.666666670000001</v>
      </c>
      <c r="T519">
        <v>32560</v>
      </c>
      <c r="U519">
        <v>50.545161290000003</v>
      </c>
      <c r="V519">
        <v>4.0999999999999996</v>
      </c>
      <c r="W519">
        <v>16.611538459999998</v>
      </c>
      <c r="X519">
        <v>50.9</v>
      </c>
      <c r="Y519">
        <v>4.2</v>
      </c>
      <c r="Z519">
        <v>17.519444440000001</v>
      </c>
      <c r="AA519">
        <v>50.357142860000003</v>
      </c>
      <c r="AB519">
        <v>4.0999999999999996</v>
      </c>
      <c r="AC519">
        <v>18.281874999999999</v>
      </c>
      <c r="AD519">
        <v>49.9</v>
      </c>
      <c r="AE519">
        <f>Table1[[#This Row],[total_price]]/Table1[[#This Row],[qty]]</f>
        <v>50.9</v>
      </c>
      <c r="AF519">
        <f t="shared" si="8"/>
        <v>49.9</v>
      </c>
      <c r="AG519">
        <f>IF(ROW()=2, "", AVERAGE(D$2:D518))</f>
        <v>15.044487427466152</v>
      </c>
    </row>
    <row r="520" spans="1:33" x14ac:dyDescent="0.25">
      <c r="A520" t="s">
        <v>78</v>
      </c>
      <c r="B520" t="s">
        <v>33</v>
      </c>
      <c r="C520" s="1">
        <v>43103</v>
      </c>
      <c r="D520">
        <v>2</v>
      </c>
      <c r="E520">
        <v>107.8</v>
      </c>
      <c r="F520">
        <v>62.27</v>
      </c>
      <c r="G520">
        <v>53.9</v>
      </c>
      <c r="H520">
        <v>59</v>
      </c>
      <c r="I520">
        <v>341</v>
      </c>
      <c r="J520">
        <v>2</v>
      </c>
      <c r="K520">
        <v>1850</v>
      </c>
      <c r="L520">
        <v>4.3</v>
      </c>
      <c r="M520">
        <v>116</v>
      </c>
      <c r="N520">
        <v>22</v>
      </c>
      <c r="O520">
        <v>9</v>
      </c>
      <c r="P520">
        <v>1</v>
      </c>
      <c r="Q520">
        <v>3</v>
      </c>
      <c r="R520">
        <v>2018</v>
      </c>
      <c r="S520">
        <v>8.3333333330000006</v>
      </c>
      <c r="T520">
        <v>32560</v>
      </c>
      <c r="U520">
        <v>53.9</v>
      </c>
      <c r="V520">
        <v>4.0999999999999996</v>
      </c>
      <c r="W520">
        <v>20.359677420000001</v>
      </c>
      <c r="X520">
        <v>53.9</v>
      </c>
      <c r="Y520">
        <v>4.2</v>
      </c>
      <c r="Z520">
        <v>21.852857140000001</v>
      </c>
      <c r="AA520">
        <v>53.9</v>
      </c>
      <c r="AB520">
        <v>4.0999999999999996</v>
      </c>
      <c r="AC520">
        <v>19.024230769999999</v>
      </c>
      <c r="AD520">
        <v>51.233333330000001</v>
      </c>
      <c r="AE520">
        <f>Table1[[#This Row],[total_price]]/Table1[[#This Row],[qty]]</f>
        <v>53.9</v>
      </c>
      <c r="AF520">
        <f t="shared" si="8"/>
        <v>50.9</v>
      </c>
      <c r="AG520">
        <f>IF(ROW()=2, "", AVERAGE(D$2:D519))</f>
        <v>15.023166023166024</v>
      </c>
    </row>
    <row r="521" spans="1:33" x14ac:dyDescent="0.25">
      <c r="A521" t="s">
        <v>78</v>
      </c>
      <c r="B521" t="s">
        <v>33</v>
      </c>
      <c r="C521" s="1">
        <v>43104</v>
      </c>
      <c r="D521">
        <v>2</v>
      </c>
      <c r="E521">
        <v>107.8</v>
      </c>
      <c r="F521">
        <v>33.93</v>
      </c>
      <c r="G521">
        <v>53.9</v>
      </c>
      <c r="H521">
        <v>59</v>
      </c>
      <c r="I521">
        <v>341</v>
      </c>
      <c r="J521">
        <v>2</v>
      </c>
      <c r="K521">
        <v>1850</v>
      </c>
      <c r="L521">
        <v>4.3</v>
      </c>
      <c r="M521">
        <v>111</v>
      </c>
      <c r="N521">
        <v>21</v>
      </c>
      <c r="O521">
        <v>9</v>
      </c>
      <c r="P521">
        <v>1</v>
      </c>
      <c r="Q521">
        <v>4</v>
      </c>
      <c r="R521">
        <v>2018</v>
      </c>
      <c r="S521">
        <v>6.5938511330000003</v>
      </c>
      <c r="T521">
        <v>32560</v>
      </c>
      <c r="U521">
        <v>53.9</v>
      </c>
      <c r="V521">
        <v>4.0999999999999996</v>
      </c>
      <c r="W521">
        <v>5.2817391300000001</v>
      </c>
      <c r="X521">
        <v>53.9</v>
      </c>
      <c r="Y521">
        <v>4.2</v>
      </c>
      <c r="Z521">
        <v>19.46846154</v>
      </c>
      <c r="AA521">
        <v>53.9</v>
      </c>
      <c r="AB521">
        <v>4.0999999999999996</v>
      </c>
      <c r="AC521">
        <v>19.071428569999998</v>
      </c>
      <c r="AD521">
        <v>53.9</v>
      </c>
      <c r="AE521">
        <f>Table1[[#This Row],[total_price]]/Table1[[#This Row],[qty]]</f>
        <v>53.9</v>
      </c>
      <c r="AF521">
        <f t="shared" si="8"/>
        <v>53.9</v>
      </c>
      <c r="AG521">
        <f>IF(ROW()=2, "", AVERAGE(D$2:D520))</f>
        <v>14.998073217726397</v>
      </c>
    </row>
    <row r="522" spans="1:33" x14ac:dyDescent="0.25">
      <c r="A522" t="s">
        <v>78</v>
      </c>
      <c r="B522" t="s">
        <v>33</v>
      </c>
      <c r="C522" s="1">
        <v>43105</v>
      </c>
      <c r="D522">
        <v>4</v>
      </c>
      <c r="E522">
        <v>199.6</v>
      </c>
      <c r="F522">
        <v>21.21</v>
      </c>
      <c r="G522">
        <v>49.9</v>
      </c>
      <c r="H522">
        <v>59</v>
      </c>
      <c r="I522">
        <v>341</v>
      </c>
      <c r="J522">
        <v>2</v>
      </c>
      <c r="K522">
        <v>1850</v>
      </c>
      <c r="L522">
        <v>4.3</v>
      </c>
      <c r="M522">
        <v>102</v>
      </c>
      <c r="N522">
        <v>23</v>
      </c>
      <c r="O522">
        <v>8</v>
      </c>
      <c r="P522">
        <v>3</v>
      </c>
      <c r="Q522">
        <v>5</v>
      </c>
      <c r="R522">
        <v>2018</v>
      </c>
      <c r="S522">
        <v>9.3042071199999992</v>
      </c>
      <c r="T522">
        <v>32560</v>
      </c>
      <c r="U522">
        <v>53.415151520000002</v>
      </c>
      <c r="V522">
        <v>4.0999999999999996</v>
      </c>
      <c r="W522">
        <v>10.753035710000001</v>
      </c>
      <c r="X522">
        <v>53.70952381</v>
      </c>
      <c r="Y522">
        <v>4.2</v>
      </c>
      <c r="Z522">
        <v>13.510344829999999</v>
      </c>
      <c r="AA522">
        <v>53.057894740000002</v>
      </c>
      <c r="AB522">
        <v>4.0999999999999996</v>
      </c>
      <c r="AC522">
        <v>12.98</v>
      </c>
      <c r="AD522">
        <v>53.9</v>
      </c>
      <c r="AE522">
        <f>Table1[[#This Row],[total_price]]/Table1[[#This Row],[qty]]</f>
        <v>49.9</v>
      </c>
      <c r="AF522">
        <f t="shared" si="8"/>
        <v>53.9</v>
      </c>
      <c r="AG522">
        <f>IF(ROW()=2, "", AVERAGE(D$2:D521))</f>
        <v>14.973076923076922</v>
      </c>
    </row>
    <row r="523" spans="1:33" x14ac:dyDescent="0.25">
      <c r="A523" t="s">
        <v>78</v>
      </c>
      <c r="B523" t="s">
        <v>33</v>
      </c>
      <c r="C523" s="1">
        <v>43106</v>
      </c>
      <c r="D523">
        <v>5</v>
      </c>
      <c r="E523">
        <v>249.5</v>
      </c>
      <c r="F523">
        <v>22.42</v>
      </c>
      <c r="G523">
        <v>49.9</v>
      </c>
      <c r="H523">
        <v>59</v>
      </c>
      <c r="I523">
        <v>341</v>
      </c>
      <c r="J523">
        <v>2</v>
      </c>
      <c r="K523">
        <v>1850</v>
      </c>
      <c r="L523">
        <v>4.3</v>
      </c>
      <c r="M523">
        <v>58</v>
      </c>
      <c r="N523">
        <v>21</v>
      </c>
      <c r="O523">
        <v>9</v>
      </c>
      <c r="P523">
        <v>0</v>
      </c>
      <c r="Q523">
        <v>6</v>
      </c>
      <c r="R523">
        <v>2018</v>
      </c>
      <c r="S523">
        <v>12.843851129999999</v>
      </c>
      <c r="T523">
        <v>32560</v>
      </c>
      <c r="U523">
        <v>49.9</v>
      </c>
      <c r="V523">
        <v>4.0999999999999996</v>
      </c>
      <c r="W523">
        <v>19.89083333</v>
      </c>
      <c r="X523">
        <v>49.9</v>
      </c>
      <c r="Y523">
        <v>4.2</v>
      </c>
      <c r="Z523">
        <v>23.251666669999999</v>
      </c>
      <c r="AA523">
        <v>49.9</v>
      </c>
      <c r="AB523">
        <v>4.0999999999999996</v>
      </c>
      <c r="AC523">
        <v>22.878666670000001</v>
      </c>
      <c r="AD523">
        <v>49.9</v>
      </c>
      <c r="AE523">
        <f>Table1[[#This Row],[total_price]]/Table1[[#This Row],[qty]]</f>
        <v>49.9</v>
      </c>
      <c r="AF523">
        <f t="shared" si="8"/>
        <v>49.9</v>
      </c>
      <c r="AG523">
        <f>IF(ROW()=2, "", AVERAGE(D$2:D522))</f>
        <v>14.952015355086372</v>
      </c>
    </row>
    <row r="524" spans="1:33" x14ac:dyDescent="0.25">
      <c r="A524" t="s">
        <v>78</v>
      </c>
      <c r="B524" t="s">
        <v>33</v>
      </c>
      <c r="C524" s="1">
        <v>43107</v>
      </c>
      <c r="D524">
        <v>3</v>
      </c>
      <c r="E524">
        <v>149.69999999999999</v>
      </c>
      <c r="F524">
        <v>34.549999999999997</v>
      </c>
      <c r="G524">
        <v>49.9</v>
      </c>
      <c r="H524">
        <v>59</v>
      </c>
      <c r="I524">
        <v>341</v>
      </c>
      <c r="J524">
        <v>2</v>
      </c>
      <c r="K524">
        <v>1850</v>
      </c>
      <c r="L524">
        <v>4.3</v>
      </c>
      <c r="M524">
        <v>54</v>
      </c>
      <c r="N524">
        <v>22</v>
      </c>
      <c r="O524">
        <v>9</v>
      </c>
      <c r="P524">
        <v>1</v>
      </c>
      <c r="Q524">
        <v>7</v>
      </c>
      <c r="R524">
        <v>2018</v>
      </c>
      <c r="S524">
        <v>13.5315534</v>
      </c>
      <c r="T524">
        <v>32560</v>
      </c>
      <c r="U524">
        <v>49.91</v>
      </c>
      <c r="V524">
        <v>4.0999999999999996</v>
      </c>
      <c r="W524">
        <v>28.373333330000001</v>
      </c>
      <c r="X524">
        <v>49.9</v>
      </c>
      <c r="Y524">
        <v>4.2</v>
      </c>
      <c r="Z524">
        <v>33.281428570000003</v>
      </c>
      <c r="AA524">
        <v>49.9</v>
      </c>
      <c r="AB524">
        <v>4.0999999999999996</v>
      </c>
      <c r="AC524">
        <v>20.99</v>
      </c>
      <c r="AD524">
        <v>49.9</v>
      </c>
      <c r="AE524">
        <f>Table1[[#This Row],[total_price]]/Table1[[#This Row],[qty]]</f>
        <v>49.9</v>
      </c>
      <c r="AF524">
        <f t="shared" si="8"/>
        <v>49.9</v>
      </c>
      <c r="AG524">
        <f>IF(ROW()=2, "", AVERAGE(D$2:D523))</f>
        <v>14.932950191570882</v>
      </c>
    </row>
    <row r="525" spans="1:33" x14ac:dyDescent="0.25">
      <c r="A525" t="s">
        <v>78</v>
      </c>
      <c r="B525" t="s">
        <v>33</v>
      </c>
      <c r="C525" s="1">
        <v>43108</v>
      </c>
      <c r="D525">
        <v>3</v>
      </c>
      <c r="E525">
        <v>149.69999999999999</v>
      </c>
      <c r="F525">
        <v>20.99</v>
      </c>
      <c r="G525">
        <v>49.9</v>
      </c>
      <c r="H525">
        <v>59</v>
      </c>
      <c r="I525">
        <v>341</v>
      </c>
      <c r="J525">
        <v>2</v>
      </c>
      <c r="K525">
        <v>1850</v>
      </c>
      <c r="L525">
        <v>4.3</v>
      </c>
      <c r="M525">
        <v>46</v>
      </c>
      <c r="N525">
        <v>23</v>
      </c>
      <c r="O525">
        <v>8</v>
      </c>
      <c r="P525">
        <v>1</v>
      </c>
      <c r="Q525">
        <v>8</v>
      </c>
      <c r="R525">
        <v>2018</v>
      </c>
      <c r="S525">
        <v>15.47330097</v>
      </c>
      <c r="T525">
        <v>32560</v>
      </c>
      <c r="U525">
        <v>49.91</v>
      </c>
      <c r="V525">
        <v>4.0999999999999996</v>
      </c>
      <c r="W525">
        <v>20.32833333</v>
      </c>
      <c r="X525">
        <v>49.9</v>
      </c>
      <c r="Y525">
        <v>4.2</v>
      </c>
      <c r="Z525">
        <v>36.442</v>
      </c>
      <c r="AA525">
        <v>49.9</v>
      </c>
      <c r="AB525">
        <v>4.0999999999999996</v>
      </c>
      <c r="AC525">
        <v>32.32</v>
      </c>
      <c r="AD525">
        <v>49.9</v>
      </c>
      <c r="AE525">
        <f>Table1[[#This Row],[total_price]]/Table1[[#This Row],[qty]]</f>
        <v>49.9</v>
      </c>
      <c r="AF525">
        <f t="shared" si="8"/>
        <v>49.9</v>
      </c>
      <c r="AG525">
        <f>IF(ROW()=2, "", AVERAGE(D$2:D524))</f>
        <v>14.910133843212238</v>
      </c>
    </row>
    <row r="526" spans="1:33" x14ac:dyDescent="0.25">
      <c r="A526" t="s">
        <v>79</v>
      </c>
      <c r="B526" t="s">
        <v>68</v>
      </c>
      <c r="C526" s="1">
        <v>42742</v>
      </c>
      <c r="D526">
        <v>1</v>
      </c>
      <c r="E526">
        <v>38.4</v>
      </c>
      <c r="F526">
        <v>7.78</v>
      </c>
      <c r="G526">
        <v>38.4</v>
      </c>
      <c r="H526">
        <v>49</v>
      </c>
      <c r="I526">
        <v>829</v>
      </c>
      <c r="J526">
        <v>1</v>
      </c>
      <c r="K526">
        <v>850</v>
      </c>
      <c r="L526">
        <v>3.7</v>
      </c>
      <c r="M526">
        <v>5</v>
      </c>
      <c r="N526">
        <v>21</v>
      </c>
      <c r="O526">
        <v>10</v>
      </c>
      <c r="P526">
        <v>1</v>
      </c>
      <c r="Q526">
        <v>7</v>
      </c>
      <c r="R526">
        <v>2017</v>
      </c>
      <c r="S526">
        <v>5.9388335699999999</v>
      </c>
      <c r="T526">
        <v>10000</v>
      </c>
      <c r="U526">
        <v>75</v>
      </c>
      <c r="V526">
        <v>4.0999999999999996</v>
      </c>
      <c r="W526">
        <v>15.856</v>
      </c>
      <c r="X526">
        <v>38.4</v>
      </c>
      <c r="Y526">
        <v>3.7</v>
      </c>
      <c r="Z526">
        <v>7.78</v>
      </c>
      <c r="AA526">
        <v>38.4</v>
      </c>
      <c r="AB526">
        <v>3.7</v>
      </c>
      <c r="AC526">
        <v>7.78</v>
      </c>
      <c r="AD526">
        <v>38.35</v>
      </c>
      <c r="AE526">
        <f>Table1[[#This Row],[total_price]]/Table1[[#This Row],[qty]]</f>
        <v>38.4</v>
      </c>
      <c r="AF526" t="str">
        <f t="shared" si="8"/>
        <v/>
      </c>
      <c r="AG526">
        <f>IF(ROW()=2, "", AVERAGE(D$2:D525))</f>
        <v>14.887404580152671</v>
      </c>
    </row>
    <row r="527" spans="1:33" x14ac:dyDescent="0.25">
      <c r="A527" t="s">
        <v>79</v>
      </c>
      <c r="B527" t="s">
        <v>68</v>
      </c>
      <c r="C527" s="1">
        <v>42743</v>
      </c>
      <c r="D527">
        <v>8</v>
      </c>
      <c r="E527">
        <v>307.2</v>
      </c>
      <c r="F527">
        <v>12.105</v>
      </c>
      <c r="G527">
        <v>38.4</v>
      </c>
      <c r="H527">
        <v>49</v>
      </c>
      <c r="I527">
        <v>829</v>
      </c>
      <c r="J527">
        <v>1</v>
      </c>
      <c r="K527">
        <v>850</v>
      </c>
      <c r="L527">
        <v>3.7</v>
      </c>
      <c r="M527">
        <v>14</v>
      </c>
      <c r="N527">
        <v>23</v>
      </c>
      <c r="O527">
        <v>8</v>
      </c>
      <c r="P527">
        <v>1</v>
      </c>
      <c r="Q527">
        <v>8</v>
      </c>
      <c r="R527">
        <v>2017</v>
      </c>
      <c r="S527">
        <v>13.82645804</v>
      </c>
      <c r="T527">
        <v>10000</v>
      </c>
      <c r="U527">
        <v>75</v>
      </c>
      <c r="V527">
        <v>4.0999999999999996</v>
      </c>
      <c r="W527">
        <v>15.376923079999999</v>
      </c>
      <c r="X527">
        <v>38.4</v>
      </c>
      <c r="Y527">
        <v>3.7</v>
      </c>
      <c r="Z527">
        <v>12.105</v>
      </c>
      <c r="AA527">
        <v>38.4</v>
      </c>
      <c r="AB527">
        <v>3.7</v>
      </c>
      <c r="AC527">
        <v>12.105</v>
      </c>
      <c r="AD527">
        <v>38.4</v>
      </c>
      <c r="AE527">
        <f>Table1[[#This Row],[total_price]]/Table1[[#This Row],[qty]]</f>
        <v>38.4</v>
      </c>
      <c r="AF527">
        <f t="shared" si="8"/>
        <v>38.4</v>
      </c>
      <c r="AG527">
        <f>IF(ROW()=2, "", AVERAGE(D$2:D526))</f>
        <v>14.860952380952382</v>
      </c>
    </row>
    <row r="528" spans="1:33" x14ac:dyDescent="0.25">
      <c r="A528" t="s">
        <v>79</v>
      </c>
      <c r="B528" t="s">
        <v>68</v>
      </c>
      <c r="C528" s="1">
        <v>42744</v>
      </c>
      <c r="D528">
        <v>12</v>
      </c>
      <c r="E528">
        <v>460.8</v>
      </c>
      <c r="F528">
        <v>17.95</v>
      </c>
      <c r="G528">
        <v>38.4</v>
      </c>
      <c r="H528">
        <v>49</v>
      </c>
      <c r="I528">
        <v>829</v>
      </c>
      <c r="J528">
        <v>1</v>
      </c>
      <c r="K528">
        <v>850</v>
      </c>
      <c r="L528">
        <v>3.7</v>
      </c>
      <c r="M528">
        <v>7</v>
      </c>
      <c r="N528">
        <v>21</v>
      </c>
      <c r="O528">
        <v>9</v>
      </c>
      <c r="P528">
        <v>1</v>
      </c>
      <c r="Q528">
        <v>9</v>
      </c>
      <c r="R528">
        <v>2017</v>
      </c>
      <c r="S528">
        <v>16.21621622</v>
      </c>
      <c r="T528">
        <v>10000</v>
      </c>
      <c r="U528">
        <v>38.4</v>
      </c>
      <c r="V528">
        <v>3.7</v>
      </c>
      <c r="W528">
        <v>17.95</v>
      </c>
      <c r="X528">
        <v>38.4</v>
      </c>
      <c r="Y528">
        <v>3.7</v>
      </c>
      <c r="Z528">
        <v>17.95</v>
      </c>
      <c r="AA528">
        <v>38.4</v>
      </c>
      <c r="AB528">
        <v>3.7</v>
      </c>
      <c r="AC528">
        <v>17.95</v>
      </c>
      <c r="AD528">
        <v>38.4</v>
      </c>
      <c r="AE528">
        <f>Table1[[#This Row],[total_price]]/Table1[[#This Row],[qty]]</f>
        <v>38.4</v>
      </c>
      <c r="AF528">
        <f t="shared" si="8"/>
        <v>38.4</v>
      </c>
      <c r="AG528">
        <f>IF(ROW()=2, "", AVERAGE(D$2:D527))</f>
        <v>14.847908745247148</v>
      </c>
    </row>
    <row r="529" spans="1:33" x14ac:dyDescent="0.25">
      <c r="A529" t="s">
        <v>79</v>
      </c>
      <c r="B529" t="s">
        <v>68</v>
      </c>
      <c r="C529" s="1">
        <v>42745</v>
      </c>
      <c r="D529">
        <v>25</v>
      </c>
      <c r="E529">
        <v>960</v>
      </c>
      <c r="F529">
        <v>13.98</v>
      </c>
      <c r="G529">
        <v>38.4</v>
      </c>
      <c r="H529">
        <v>49</v>
      </c>
      <c r="I529">
        <v>829</v>
      </c>
      <c r="J529">
        <v>1</v>
      </c>
      <c r="K529">
        <v>850</v>
      </c>
      <c r="L529">
        <v>3.7</v>
      </c>
      <c r="M529">
        <v>17</v>
      </c>
      <c r="N529">
        <v>22</v>
      </c>
      <c r="O529">
        <v>9</v>
      </c>
      <c r="P529">
        <v>2</v>
      </c>
      <c r="Q529">
        <v>10</v>
      </c>
      <c r="R529">
        <v>2017</v>
      </c>
      <c r="S529">
        <v>33.78378378</v>
      </c>
      <c r="T529">
        <v>10000</v>
      </c>
      <c r="U529">
        <v>75</v>
      </c>
      <c r="V529">
        <v>4.0999999999999996</v>
      </c>
      <c r="W529">
        <v>13.64</v>
      </c>
      <c r="X529">
        <v>38.4</v>
      </c>
      <c r="Y529">
        <v>3.7</v>
      </c>
      <c r="Z529">
        <v>13.98</v>
      </c>
      <c r="AA529">
        <v>38.4</v>
      </c>
      <c r="AB529">
        <v>3.7</v>
      </c>
      <c r="AC529">
        <v>13.98</v>
      </c>
      <c r="AD529">
        <v>38.4</v>
      </c>
      <c r="AE529">
        <f>Table1[[#This Row],[total_price]]/Table1[[#This Row],[qty]]</f>
        <v>38.4</v>
      </c>
      <c r="AF529">
        <f t="shared" si="8"/>
        <v>38.4</v>
      </c>
      <c r="AG529">
        <f>IF(ROW()=2, "", AVERAGE(D$2:D528))</f>
        <v>14.842504743833016</v>
      </c>
    </row>
    <row r="530" spans="1:33" x14ac:dyDescent="0.25">
      <c r="A530" t="s">
        <v>79</v>
      </c>
      <c r="B530" t="s">
        <v>68</v>
      </c>
      <c r="C530" s="1">
        <v>42746</v>
      </c>
      <c r="D530">
        <v>28</v>
      </c>
      <c r="E530">
        <v>1026.51</v>
      </c>
      <c r="F530">
        <v>13.65214286</v>
      </c>
      <c r="G530">
        <v>36.854285709999999</v>
      </c>
      <c r="H530">
        <v>49</v>
      </c>
      <c r="I530">
        <v>829</v>
      </c>
      <c r="J530">
        <v>1</v>
      </c>
      <c r="K530">
        <v>850</v>
      </c>
      <c r="L530">
        <v>3.7</v>
      </c>
      <c r="M530">
        <v>64</v>
      </c>
      <c r="N530">
        <v>22</v>
      </c>
      <c r="O530">
        <v>8</v>
      </c>
      <c r="P530">
        <v>4</v>
      </c>
      <c r="Q530">
        <v>11</v>
      </c>
      <c r="R530">
        <v>2017</v>
      </c>
      <c r="S530">
        <v>37.837837839999999</v>
      </c>
      <c r="T530">
        <v>10000</v>
      </c>
      <c r="U530">
        <v>75</v>
      </c>
      <c r="V530">
        <v>4.0999999999999996</v>
      </c>
      <c r="W530">
        <v>16.13272727</v>
      </c>
      <c r="X530">
        <v>36.854285709999999</v>
      </c>
      <c r="Y530">
        <v>3.7</v>
      </c>
      <c r="Z530">
        <v>13.65214286</v>
      </c>
      <c r="AA530">
        <v>99.9</v>
      </c>
      <c r="AB530">
        <v>4.4000000000000004</v>
      </c>
      <c r="AC530">
        <v>21.19</v>
      </c>
      <c r="AD530">
        <v>38.4</v>
      </c>
      <c r="AE530">
        <f>Table1[[#This Row],[total_price]]/Table1[[#This Row],[qty]]</f>
        <v>36.661071428571425</v>
      </c>
      <c r="AF530">
        <f t="shared" si="8"/>
        <v>38.4</v>
      </c>
      <c r="AG530">
        <f>IF(ROW()=2, "", AVERAGE(D$2:D529))</f>
        <v>14.861742424242424</v>
      </c>
    </row>
    <row r="531" spans="1:33" x14ac:dyDescent="0.25">
      <c r="A531" t="s">
        <v>79</v>
      </c>
      <c r="B531" t="s">
        <v>68</v>
      </c>
      <c r="C531" s="1">
        <v>43101</v>
      </c>
      <c r="D531">
        <v>2</v>
      </c>
      <c r="E531">
        <v>76.8</v>
      </c>
      <c r="F531">
        <v>9.34</v>
      </c>
      <c r="G531">
        <v>38.4</v>
      </c>
      <c r="H531">
        <v>49</v>
      </c>
      <c r="I531">
        <v>829</v>
      </c>
      <c r="J531">
        <v>1</v>
      </c>
      <c r="K531">
        <v>850</v>
      </c>
      <c r="L531">
        <v>3.7</v>
      </c>
      <c r="M531">
        <v>125</v>
      </c>
      <c r="N531">
        <v>23</v>
      </c>
      <c r="O531">
        <v>8</v>
      </c>
      <c r="P531">
        <v>2</v>
      </c>
      <c r="Q531">
        <v>1</v>
      </c>
      <c r="R531">
        <v>2018</v>
      </c>
      <c r="S531">
        <v>2.1052631580000001</v>
      </c>
      <c r="T531">
        <v>10000</v>
      </c>
      <c r="U531">
        <v>69.995327099999997</v>
      </c>
      <c r="V531">
        <v>4.0999999999999996</v>
      </c>
      <c r="W531">
        <v>17.663114749999998</v>
      </c>
      <c r="X531">
        <v>38.4</v>
      </c>
      <c r="Y531">
        <v>3.7</v>
      </c>
      <c r="Z531">
        <v>9.34</v>
      </c>
      <c r="AA531">
        <v>99.9</v>
      </c>
      <c r="AB531">
        <v>4.4000000000000004</v>
      </c>
      <c r="AC531">
        <v>22.819230770000001</v>
      </c>
      <c r="AD531">
        <v>38.35</v>
      </c>
      <c r="AE531">
        <f>Table1[[#This Row],[total_price]]/Table1[[#This Row],[qty]]</f>
        <v>38.4</v>
      </c>
      <c r="AF531">
        <f t="shared" si="8"/>
        <v>36.661071428571425</v>
      </c>
      <c r="AG531">
        <f>IF(ROW()=2, "", AVERAGE(D$2:D530))</f>
        <v>14.886578449905482</v>
      </c>
    </row>
    <row r="532" spans="1:33" x14ac:dyDescent="0.25">
      <c r="A532" t="s">
        <v>79</v>
      </c>
      <c r="B532" t="s">
        <v>68</v>
      </c>
      <c r="C532" s="1">
        <v>43102</v>
      </c>
      <c r="D532">
        <v>9</v>
      </c>
      <c r="E532">
        <v>345.6</v>
      </c>
      <c r="F532">
        <v>18.685555560000001</v>
      </c>
      <c r="G532">
        <v>38.4</v>
      </c>
      <c r="H532">
        <v>49</v>
      </c>
      <c r="I532">
        <v>829</v>
      </c>
      <c r="J532">
        <v>1</v>
      </c>
      <c r="K532">
        <v>850</v>
      </c>
      <c r="L532">
        <v>3.7</v>
      </c>
      <c r="M532">
        <v>52</v>
      </c>
      <c r="N532">
        <v>20</v>
      </c>
      <c r="O532">
        <v>8</v>
      </c>
      <c r="P532">
        <v>2</v>
      </c>
      <c r="Q532">
        <v>2</v>
      </c>
      <c r="R532">
        <v>2018</v>
      </c>
      <c r="S532">
        <v>9.4736842110000001</v>
      </c>
      <c r="T532">
        <v>10000</v>
      </c>
      <c r="U532">
        <v>69.900000000000006</v>
      </c>
      <c r="V532">
        <v>4.0999999999999996</v>
      </c>
      <c r="W532">
        <v>16.115909089999999</v>
      </c>
      <c r="X532">
        <v>38.4</v>
      </c>
      <c r="Y532">
        <v>3.7</v>
      </c>
      <c r="Z532">
        <v>18.685555560000001</v>
      </c>
      <c r="AA532">
        <v>99.9</v>
      </c>
      <c r="AB532">
        <v>4.4000000000000004</v>
      </c>
      <c r="AC532">
        <v>28.89076923</v>
      </c>
      <c r="AD532">
        <v>38.4</v>
      </c>
      <c r="AE532">
        <f>Table1[[#This Row],[total_price]]/Table1[[#This Row],[qty]]</f>
        <v>38.400000000000006</v>
      </c>
      <c r="AF532">
        <f t="shared" si="8"/>
        <v>38.4</v>
      </c>
      <c r="AG532">
        <f>IF(ROW()=2, "", AVERAGE(D$2:D531))</f>
        <v>14.862264150943396</v>
      </c>
    </row>
    <row r="533" spans="1:33" x14ac:dyDescent="0.25">
      <c r="A533" t="s">
        <v>79</v>
      </c>
      <c r="B533" t="s">
        <v>68</v>
      </c>
      <c r="C533" s="1">
        <v>43103</v>
      </c>
      <c r="D533">
        <v>17</v>
      </c>
      <c r="E533">
        <v>601.79999999999995</v>
      </c>
      <c r="F533">
        <v>15.44823529</v>
      </c>
      <c r="G533">
        <v>35.485714289999997</v>
      </c>
      <c r="H533">
        <v>49</v>
      </c>
      <c r="I533">
        <v>829</v>
      </c>
      <c r="J533">
        <v>1</v>
      </c>
      <c r="K533">
        <v>850</v>
      </c>
      <c r="L533">
        <v>3.7</v>
      </c>
      <c r="M533">
        <v>83</v>
      </c>
      <c r="N533">
        <v>22</v>
      </c>
      <c r="O533">
        <v>9</v>
      </c>
      <c r="P533">
        <v>1</v>
      </c>
      <c r="Q533">
        <v>3</v>
      </c>
      <c r="R533">
        <v>2018</v>
      </c>
      <c r="S533">
        <v>17.89473684</v>
      </c>
      <c r="T533">
        <v>10000</v>
      </c>
      <c r="U533">
        <v>69.900000000000006</v>
      </c>
      <c r="V533">
        <v>4.0999999999999996</v>
      </c>
      <c r="W533">
        <v>18.425076919999999</v>
      </c>
      <c r="X533">
        <v>35.485714289999997</v>
      </c>
      <c r="Y533">
        <v>3.7</v>
      </c>
      <c r="Z533">
        <v>15.44823529</v>
      </c>
      <c r="AA533">
        <v>99.9</v>
      </c>
      <c r="AB533">
        <v>4.4000000000000004</v>
      </c>
      <c r="AC533">
        <v>22.145833329999999</v>
      </c>
      <c r="AD533">
        <v>38.4</v>
      </c>
      <c r="AE533">
        <f>Table1[[#This Row],[total_price]]/Table1[[#This Row],[qty]]</f>
        <v>35.4</v>
      </c>
      <c r="AF533">
        <f t="shared" si="8"/>
        <v>38.400000000000006</v>
      </c>
      <c r="AG533">
        <f>IF(ROW()=2, "", AVERAGE(D$2:D532))</f>
        <v>14.851224105461393</v>
      </c>
    </row>
    <row r="534" spans="1:33" x14ac:dyDescent="0.25">
      <c r="A534" t="s">
        <v>79</v>
      </c>
      <c r="B534" t="s">
        <v>68</v>
      </c>
      <c r="C534" s="1">
        <v>43104</v>
      </c>
      <c r="D534">
        <v>17</v>
      </c>
      <c r="E534">
        <v>595</v>
      </c>
      <c r="F534">
        <v>13.46941176</v>
      </c>
      <c r="G534">
        <v>35</v>
      </c>
      <c r="H534">
        <v>49</v>
      </c>
      <c r="I534">
        <v>829</v>
      </c>
      <c r="J534">
        <v>1</v>
      </c>
      <c r="K534">
        <v>850</v>
      </c>
      <c r="L534">
        <v>3.7</v>
      </c>
      <c r="M534">
        <v>92</v>
      </c>
      <c r="N534">
        <v>21</v>
      </c>
      <c r="O534">
        <v>9</v>
      </c>
      <c r="P534">
        <v>1</v>
      </c>
      <c r="Q534">
        <v>4</v>
      </c>
      <c r="R534">
        <v>2018</v>
      </c>
      <c r="S534">
        <v>17.89473684</v>
      </c>
      <c r="T534">
        <v>10000</v>
      </c>
      <c r="U534">
        <v>69.900000000000006</v>
      </c>
      <c r="V534">
        <v>4.0999999999999996</v>
      </c>
      <c r="W534">
        <v>9.0715662649999995</v>
      </c>
      <c r="X534">
        <v>35</v>
      </c>
      <c r="Y534">
        <v>3.7</v>
      </c>
      <c r="Z534">
        <v>13.46941176</v>
      </c>
      <c r="AA534">
        <v>99.9</v>
      </c>
      <c r="AB534">
        <v>4.4000000000000004</v>
      </c>
      <c r="AC534">
        <v>23.32769231</v>
      </c>
      <c r="AD534">
        <v>35.485714289999997</v>
      </c>
      <c r="AE534">
        <f>Table1[[#This Row],[total_price]]/Table1[[#This Row],[qty]]</f>
        <v>35</v>
      </c>
      <c r="AF534">
        <f t="shared" si="8"/>
        <v>35.4</v>
      </c>
      <c r="AG534">
        <f>IF(ROW()=2, "", AVERAGE(D$2:D533))</f>
        <v>14.855263157894736</v>
      </c>
    </row>
    <row r="535" spans="1:33" x14ac:dyDescent="0.25">
      <c r="A535" t="s">
        <v>79</v>
      </c>
      <c r="B535" t="s">
        <v>68</v>
      </c>
      <c r="C535" s="1">
        <v>43105</v>
      </c>
      <c r="D535">
        <v>11</v>
      </c>
      <c r="E535">
        <v>385</v>
      </c>
      <c r="F535">
        <v>14.634545449999999</v>
      </c>
      <c r="G535">
        <v>35</v>
      </c>
      <c r="H535">
        <v>49</v>
      </c>
      <c r="I535">
        <v>829</v>
      </c>
      <c r="J535">
        <v>1</v>
      </c>
      <c r="K535">
        <v>850</v>
      </c>
      <c r="L535">
        <v>3.7</v>
      </c>
      <c r="M535">
        <v>95</v>
      </c>
      <c r="N535">
        <v>23</v>
      </c>
      <c r="O535">
        <v>8</v>
      </c>
      <c r="P535">
        <v>3</v>
      </c>
      <c r="Q535">
        <v>5</v>
      </c>
      <c r="R535">
        <v>2018</v>
      </c>
      <c r="S535">
        <v>11.57894737</v>
      </c>
      <c r="T535">
        <v>10000</v>
      </c>
      <c r="U535">
        <v>69.900000000000006</v>
      </c>
      <c r="V535">
        <v>4.0999999999999996</v>
      </c>
      <c r="W535">
        <v>3.8016304349999999</v>
      </c>
      <c r="X535">
        <v>35</v>
      </c>
      <c r="Y535">
        <v>3.7</v>
      </c>
      <c r="Z535">
        <v>14.634545449999999</v>
      </c>
      <c r="AA535">
        <v>99.9</v>
      </c>
      <c r="AB535">
        <v>4.4000000000000004</v>
      </c>
      <c r="AC535">
        <v>19.41076923</v>
      </c>
      <c r="AD535">
        <v>35</v>
      </c>
      <c r="AE535">
        <f>Table1[[#This Row],[total_price]]/Table1[[#This Row],[qty]]</f>
        <v>35</v>
      </c>
      <c r="AF535">
        <f t="shared" si="8"/>
        <v>35</v>
      </c>
      <c r="AG535">
        <f>IF(ROW()=2, "", AVERAGE(D$2:D534))</f>
        <v>14.859287054409005</v>
      </c>
    </row>
    <row r="536" spans="1:33" x14ac:dyDescent="0.25">
      <c r="A536" t="s">
        <v>79</v>
      </c>
      <c r="B536" t="s">
        <v>68</v>
      </c>
      <c r="C536" s="1">
        <v>43106</v>
      </c>
      <c r="D536">
        <v>13</v>
      </c>
      <c r="E536">
        <v>455</v>
      </c>
      <c r="F536">
        <v>18.10153846</v>
      </c>
      <c r="G536">
        <v>35</v>
      </c>
      <c r="H536">
        <v>49</v>
      </c>
      <c r="I536">
        <v>829</v>
      </c>
      <c r="J536">
        <v>1</v>
      </c>
      <c r="K536">
        <v>850</v>
      </c>
      <c r="L536">
        <v>3.7</v>
      </c>
      <c r="M536">
        <v>18</v>
      </c>
      <c r="N536">
        <v>21</v>
      </c>
      <c r="O536">
        <v>9</v>
      </c>
      <c r="P536">
        <v>0</v>
      </c>
      <c r="Q536">
        <v>6</v>
      </c>
      <c r="R536">
        <v>2018</v>
      </c>
      <c r="S536">
        <v>13.68421053</v>
      </c>
      <c r="T536">
        <v>10000</v>
      </c>
      <c r="U536">
        <v>89.9</v>
      </c>
      <c r="V536">
        <v>4.0999999999999996</v>
      </c>
      <c r="W536">
        <v>21.93</v>
      </c>
      <c r="X536">
        <v>35</v>
      </c>
      <c r="Y536">
        <v>3.7</v>
      </c>
      <c r="Z536">
        <v>18.10153846</v>
      </c>
      <c r="AA536">
        <v>99.9</v>
      </c>
      <c r="AB536">
        <v>4.4000000000000004</v>
      </c>
      <c r="AC536">
        <v>25.635999999999999</v>
      </c>
      <c r="AD536">
        <v>35</v>
      </c>
      <c r="AE536">
        <f>Table1[[#This Row],[total_price]]/Table1[[#This Row],[qty]]</f>
        <v>35</v>
      </c>
      <c r="AF536">
        <f t="shared" si="8"/>
        <v>35</v>
      </c>
      <c r="AG536">
        <f>IF(ROW()=2, "", AVERAGE(D$2:D535))</f>
        <v>14.852059925093632</v>
      </c>
    </row>
    <row r="537" spans="1:33" x14ac:dyDescent="0.25">
      <c r="A537" t="s">
        <v>79</v>
      </c>
      <c r="B537" t="s">
        <v>68</v>
      </c>
      <c r="C537" s="1">
        <v>43107</v>
      </c>
      <c r="D537">
        <v>10</v>
      </c>
      <c r="E537">
        <v>350</v>
      </c>
      <c r="F537">
        <v>17.238</v>
      </c>
      <c r="G537">
        <v>35</v>
      </c>
      <c r="H537">
        <v>49</v>
      </c>
      <c r="I537">
        <v>829</v>
      </c>
      <c r="J537">
        <v>1</v>
      </c>
      <c r="K537">
        <v>850</v>
      </c>
      <c r="L537">
        <v>3.7</v>
      </c>
      <c r="M537">
        <v>22</v>
      </c>
      <c r="N537">
        <v>22</v>
      </c>
      <c r="O537">
        <v>9</v>
      </c>
      <c r="P537">
        <v>1</v>
      </c>
      <c r="Q537">
        <v>7</v>
      </c>
      <c r="R537">
        <v>2018</v>
      </c>
      <c r="S537">
        <v>5.9388335699999999</v>
      </c>
      <c r="T537">
        <v>10000</v>
      </c>
      <c r="U537">
        <v>89.9</v>
      </c>
      <c r="V537">
        <v>4.0999999999999996</v>
      </c>
      <c r="W537">
        <v>29.79</v>
      </c>
      <c r="X537">
        <v>35</v>
      </c>
      <c r="Y537">
        <v>3.7</v>
      </c>
      <c r="Z537">
        <v>17.238</v>
      </c>
      <c r="AA537">
        <v>78.535714290000001</v>
      </c>
      <c r="AB537">
        <v>4.4000000000000004</v>
      </c>
      <c r="AC537">
        <v>23.847142860000002</v>
      </c>
      <c r="AD537">
        <v>35</v>
      </c>
      <c r="AE537">
        <f>Table1[[#This Row],[total_price]]/Table1[[#This Row],[qty]]</f>
        <v>35</v>
      </c>
      <c r="AF537">
        <f t="shared" si="8"/>
        <v>35</v>
      </c>
      <c r="AG537">
        <f>IF(ROW()=2, "", AVERAGE(D$2:D536))</f>
        <v>14.848598130841122</v>
      </c>
    </row>
    <row r="538" spans="1:33" x14ac:dyDescent="0.25">
      <c r="A538" t="s">
        <v>79</v>
      </c>
      <c r="B538" t="s">
        <v>68</v>
      </c>
      <c r="C538" s="1">
        <v>43108</v>
      </c>
      <c r="D538">
        <v>16</v>
      </c>
      <c r="E538">
        <v>560</v>
      </c>
      <c r="F538">
        <v>15.628125000000001</v>
      </c>
      <c r="G538">
        <v>35</v>
      </c>
      <c r="H538">
        <v>49</v>
      </c>
      <c r="I538">
        <v>829</v>
      </c>
      <c r="J538">
        <v>1</v>
      </c>
      <c r="K538">
        <v>850</v>
      </c>
      <c r="L538">
        <v>3.7</v>
      </c>
      <c r="M538">
        <v>19</v>
      </c>
      <c r="N538">
        <v>23</v>
      </c>
      <c r="O538">
        <v>8</v>
      </c>
      <c r="P538">
        <v>1</v>
      </c>
      <c r="Q538">
        <v>8</v>
      </c>
      <c r="R538">
        <v>2018</v>
      </c>
      <c r="S538">
        <v>13.82645804</v>
      </c>
      <c r="T538">
        <v>10000</v>
      </c>
      <c r="U538">
        <v>103.2333333</v>
      </c>
      <c r="V538">
        <v>4.0999999999999996</v>
      </c>
      <c r="W538">
        <v>22.3</v>
      </c>
      <c r="X538">
        <v>35</v>
      </c>
      <c r="Y538">
        <v>3.7</v>
      </c>
      <c r="Z538">
        <v>15.628125000000001</v>
      </c>
      <c r="AA538">
        <v>83.833333330000002</v>
      </c>
      <c r="AB538">
        <v>4.4000000000000004</v>
      </c>
      <c r="AC538">
        <v>23.776666670000001</v>
      </c>
      <c r="AD538">
        <v>35</v>
      </c>
      <c r="AE538">
        <f>Table1[[#This Row],[total_price]]/Table1[[#This Row],[qty]]</f>
        <v>35</v>
      </c>
      <c r="AF538">
        <f t="shared" si="8"/>
        <v>35</v>
      </c>
      <c r="AG538">
        <f>IF(ROW()=2, "", AVERAGE(D$2:D537))</f>
        <v>14.83955223880597</v>
      </c>
    </row>
    <row r="539" spans="1:33" x14ac:dyDescent="0.25">
      <c r="A539" t="s">
        <v>80</v>
      </c>
      <c r="B539" t="s">
        <v>38</v>
      </c>
      <c r="C539" s="1">
        <v>42743</v>
      </c>
      <c r="D539">
        <v>6</v>
      </c>
      <c r="E539">
        <v>1950</v>
      </c>
      <c r="F539">
        <v>21.074999999999999</v>
      </c>
      <c r="G539">
        <v>325</v>
      </c>
      <c r="H539">
        <v>60</v>
      </c>
      <c r="I539">
        <v>2644</v>
      </c>
      <c r="J539">
        <v>6</v>
      </c>
      <c r="K539">
        <v>400</v>
      </c>
      <c r="L539">
        <v>4.2</v>
      </c>
      <c r="M539">
        <v>82</v>
      </c>
      <c r="N539">
        <v>23</v>
      </c>
      <c r="O539">
        <v>8</v>
      </c>
      <c r="P539">
        <v>1</v>
      </c>
      <c r="Q539">
        <v>8</v>
      </c>
      <c r="R539">
        <v>2017</v>
      </c>
      <c r="S539">
        <v>16.968867599999999</v>
      </c>
      <c r="T539">
        <v>2992</v>
      </c>
      <c r="U539">
        <v>23.39740741</v>
      </c>
      <c r="V539">
        <v>4.3</v>
      </c>
      <c r="W539">
        <v>14.27678571</v>
      </c>
      <c r="X539">
        <v>89.99</v>
      </c>
      <c r="Y539">
        <v>4.0999999999999996</v>
      </c>
      <c r="Z539">
        <v>13.410555560000001</v>
      </c>
      <c r="AA539">
        <v>58.99</v>
      </c>
      <c r="AB539">
        <v>3.9</v>
      </c>
      <c r="AC539">
        <v>16.240909089999999</v>
      </c>
      <c r="AD539">
        <v>324.95</v>
      </c>
      <c r="AE539">
        <f>Table1[[#This Row],[total_price]]/Table1[[#This Row],[qty]]</f>
        <v>325</v>
      </c>
      <c r="AF539" t="str">
        <f t="shared" si="8"/>
        <v/>
      </c>
      <c r="AG539">
        <f>IF(ROW()=2, "", AVERAGE(D$2:D538))</f>
        <v>14.84171322160149</v>
      </c>
    </row>
    <row r="540" spans="1:33" x14ac:dyDescent="0.25">
      <c r="A540" t="s">
        <v>80</v>
      </c>
      <c r="B540" t="s">
        <v>38</v>
      </c>
      <c r="C540" s="1">
        <v>42744</v>
      </c>
      <c r="D540">
        <v>11</v>
      </c>
      <c r="E540">
        <v>3575</v>
      </c>
      <c r="F540">
        <v>19.523636360000001</v>
      </c>
      <c r="G540">
        <v>325</v>
      </c>
      <c r="H540">
        <v>60</v>
      </c>
      <c r="I540">
        <v>2644</v>
      </c>
      <c r="J540">
        <v>6</v>
      </c>
      <c r="K540">
        <v>400</v>
      </c>
      <c r="L540">
        <v>4.2</v>
      </c>
      <c r="M540">
        <v>89</v>
      </c>
      <c r="N540">
        <v>21</v>
      </c>
      <c r="O540">
        <v>9</v>
      </c>
      <c r="P540">
        <v>1</v>
      </c>
      <c r="Q540">
        <v>9</v>
      </c>
      <c r="R540">
        <v>2017</v>
      </c>
      <c r="S540">
        <v>29.729729729999999</v>
      </c>
      <c r="T540">
        <v>2992</v>
      </c>
      <c r="U540">
        <v>23.99</v>
      </c>
      <c r="V540">
        <v>4.3</v>
      </c>
      <c r="W540">
        <v>16.12</v>
      </c>
      <c r="X540">
        <v>89.99</v>
      </c>
      <c r="Y540">
        <v>4.0999999999999996</v>
      </c>
      <c r="Z540">
        <v>13.96428571</v>
      </c>
      <c r="AA540">
        <v>58.99</v>
      </c>
      <c r="AB540">
        <v>3.9</v>
      </c>
      <c r="AC540">
        <v>15.639200000000001</v>
      </c>
      <c r="AD540">
        <v>325</v>
      </c>
      <c r="AE540">
        <f>Table1[[#This Row],[total_price]]/Table1[[#This Row],[qty]]</f>
        <v>325</v>
      </c>
      <c r="AF540">
        <f t="shared" si="8"/>
        <v>325</v>
      </c>
      <c r="AG540">
        <f>IF(ROW()=2, "", AVERAGE(D$2:D539))</f>
        <v>14.825278810408921</v>
      </c>
    </row>
    <row r="541" spans="1:33" x14ac:dyDescent="0.25">
      <c r="A541" t="s">
        <v>80</v>
      </c>
      <c r="B541" t="s">
        <v>38</v>
      </c>
      <c r="C541" s="1">
        <v>42745</v>
      </c>
      <c r="D541">
        <v>2</v>
      </c>
      <c r="E541">
        <v>650</v>
      </c>
      <c r="F541">
        <v>19.545000000000002</v>
      </c>
      <c r="G541">
        <v>325</v>
      </c>
      <c r="H541">
        <v>60</v>
      </c>
      <c r="I541">
        <v>2644</v>
      </c>
      <c r="J541">
        <v>6</v>
      </c>
      <c r="K541">
        <v>400</v>
      </c>
      <c r="L541">
        <v>4.2</v>
      </c>
      <c r="M541">
        <v>81</v>
      </c>
      <c r="N541">
        <v>22</v>
      </c>
      <c r="O541">
        <v>9</v>
      </c>
      <c r="P541">
        <v>2</v>
      </c>
      <c r="Q541">
        <v>10</v>
      </c>
      <c r="R541">
        <v>2017</v>
      </c>
      <c r="S541">
        <v>5.4054054049999998</v>
      </c>
      <c r="T541">
        <v>2992</v>
      </c>
      <c r="U541">
        <v>23.99</v>
      </c>
      <c r="V541">
        <v>4.3</v>
      </c>
      <c r="W541">
        <v>13.13666667</v>
      </c>
      <c r="X541">
        <v>89.99</v>
      </c>
      <c r="Y541">
        <v>4.0999999999999996</v>
      </c>
      <c r="Z541">
        <v>16.56291667</v>
      </c>
      <c r="AA541">
        <v>58.99</v>
      </c>
      <c r="AB541">
        <v>3.9</v>
      </c>
      <c r="AC541">
        <v>19.065263160000001</v>
      </c>
      <c r="AD541">
        <v>325</v>
      </c>
      <c r="AE541">
        <f>Table1[[#This Row],[total_price]]/Table1[[#This Row],[qty]]</f>
        <v>325</v>
      </c>
      <c r="AF541">
        <f t="shared" si="8"/>
        <v>325</v>
      </c>
      <c r="AG541">
        <f>IF(ROW()=2, "", AVERAGE(D$2:D540))</f>
        <v>14.818181818181818</v>
      </c>
    </row>
    <row r="542" spans="1:33" x14ac:dyDescent="0.25">
      <c r="A542" t="s">
        <v>80</v>
      </c>
      <c r="B542" t="s">
        <v>38</v>
      </c>
      <c r="C542" s="1">
        <v>42746</v>
      </c>
      <c r="D542">
        <v>12</v>
      </c>
      <c r="E542">
        <v>3900</v>
      </c>
      <c r="F542">
        <v>16.994166669999998</v>
      </c>
      <c r="G542">
        <v>325</v>
      </c>
      <c r="H542">
        <v>60</v>
      </c>
      <c r="I542">
        <v>2644</v>
      </c>
      <c r="J542">
        <v>6</v>
      </c>
      <c r="K542">
        <v>400</v>
      </c>
      <c r="L542">
        <v>4.2</v>
      </c>
      <c r="M542">
        <v>139</v>
      </c>
      <c r="N542">
        <v>22</v>
      </c>
      <c r="O542">
        <v>8</v>
      </c>
      <c r="P542">
        <v>4</v>
      </c>
      <c r="Q542">
        <v>11</v>
      </c>
      <c r="R542">
        <v>2017</v>
      </c>
      <c r="S542">
        <v>32.432432429999999</v>
      </c>
      <c r="T542">
        <v>2992</v>
      </c>
      <c r="U542">
        <v>23.99</v>
      </c>
      <c r="V542">
        <v>4.3</v>
      </c>
      <c r="W542">
        <v>12.37535714</v>
      </c>
      <c r="X542">
        <v>89.99</v>
      </c>
      <c r="Y542">
        <v>4.0999999999999996</v>
      </c>
      <c r="Z542">
        <v>16.99038462</v>
      </c>
      <c r="AA542">
        <v>58.99</v>
      </c>
      <c r="AB542">
        <v>3.9</v>
      </c>
      <c r="AC542">
        <v>15.71166667</v>
      </c>
      <c r="AD542">
        <v>325</v>
      </c>
      <c r="AE542">
        <f>Table1[[#This Row],[total_price]]/Table1[[#This Row],[qty]]</f>
        <v>325</v>
      </c>
      <c r="AF542">
        <f t="shared" si="8"/>
        <v>325</v>
      </c>
      <c r="AG542">
        <f>IF(ROW()=2, "", AVERAGE(D$2:D541))</f>
        <v>14.794444444444444</v>
      </c>
    </row>
    <row r="543" spans="1:33" x14ac:dyDescent="0.25">
      <c r="A543" t="s">
        <v>80</v>
      </c>
      <c r="B543" t="s">
        <v>38</v>
      </c>
      <c r="C543" s="1">
        <v>42747</v>
      </c>
      <c r="D543">
        <v>6</v>
      </c>
      <c r="E543">
        <v>1950</v>
      </c>
      <c r="F543">
        <v>17.583333329999999</v>
      </c>
      <c r="G543">
        <v>325</v>
      </c>
      <c r="H543">
        <v>60</v>
      </c>
      <c r="I543">
        <v>2644</v>
      </c>
      <c r="J543">
        <v>6</v>
      </c>
      <c r="K543">
        <v>400</v>
      </c>
      <c r="L543">
        <v>4.2</v>
      </c>
      <c r="M543">
        <v>112</v>
      </c>
      <c r="N543">
        <v>21</v>
      </c>
      <c r="O543">
        <v>10</v>
      </c>
      <c r="P543">
        <v>1</v>
      </c>
      <c r="Q543">
        <v>12</v>
      </c>
      <c r="R543">
        <v>2017</v>
      </c>
      <c r="S543">
        <v>16.21621622</v>
      </c>
      <c r="T543">
        <v>2992</v>
      </c>
      <c r="U543">
        <v>23.99</v>
      </c>
      <c r="V543">
        <v>4.3</v>
      </c>
      <c r="W543">
        <v>12.45684211</v>
      </c>
      <c r="X543">
        <v>89.99</v>
      </c>
      <c r="Y543">
        <v>4.0999999999999996</v>
      </c>
      <c r="Z543">
        <v>15.89473684</v>
      </c>
      <c r="AA543">
        <v>58.99</v>
      </c>
      <c r="AB543">
        <v>3.9</v>
      </c>
      <c r="AC543">
        <v>16.332222219999998</v>
      </c>
      <c r="AD543">
        <v>325</v>
      </c>
      <c r="AE543">
        <f>Table1[[#This Row],[total_price]]/Table1[[#This Row],[qty]]</f>
        <v>325</v>
      </c>
      <c r="AF543">
        <f t="shared" si="8"/>
        <v>325</v>
      </c>
      <c r="AG543">
        <f>IF(ROW()=2, "", AVERAGE(D$2:D542))</f>
        <v>14.789279112754159</v>
      </c>
    </row>
    <row r="544" spans="1:33" x14ac:dyDescent="0.25">
      <c r="A544" t="s">
        <v>80</v>
      </c>
      <c r="B544" t="s">
        <v>38</v>
      </c>
      <c r="C544" s="1">
        <v>43101</v>
      </c>
      <c r="D544">
        <v>10</v>
      </c>
      <c r="E544">
        <v>3250</v>
      </c>
      <c r="F544">
        <v>19.824000000000002</v>
      </c>
      <c r="G544">
        <v>325</v>
      </c>
      <c r="H544">
        <v>60</v>
      </c>
      <c r="I544">
        <v>2644</v>
      </c>
      <c r="J544">
        <v>6</v>
      </c>
      <c r="K544">
        <v>400</v>
      </c>
      <c r="L544">
        <v>4.2</v>
      </c>
      <c r="M544">
        <v>98</v>
      </c>
      <c r="N544">
        <v>23</v>
      </c>
      <c r="O544">
        <v>8</v>
      </c>
      <c r="P544">
        <v>2</v>
      </c>
      <c r="Q544">
        <v>1</v>
      </c>
      <c r="R544">
        <v>2018</v>
      </c>
      <c r="S544">
        <v>6.3291139239999996</v>
      </c>
      <c r="T544">
        <v>2992</v>
      </c>
      <c r="U544">
        <v>23.99</v>
      </c>
      <c r="V544">
        <v>4.3</v>
      </c>
      <c r="W544">
        <v>11.28736842</v>
      </c>
      <c r="X544">
        <v>89.99</v>
      </c>
      <c r="Y544">
        <v>4.0999999999999996</v>
      </c>
      <c r="Z544">
        <v>14.811</v>
      </c>
      <c r="AA544">
        <v>58.99</v>
      </c>
      <c r="AB544">
        <v>3.9</v>
      </c>
      <c r="AC544">
        <v>22.678333330000001</v>
      </c>
      <c r="AD544">
        <v>325</v>
      </c>
      <c r="AE544">
        <f>Table1[[#This Row],[total_price]]/Table1[[#This Row],[qty]]</f>
        <v>325</v>
      </c>
      <c r="AF544">
        <f t="shared" si="8"/>
        <v>325</v>
      </c>
      <c r="AG544">
        <f>IF(ROW()=2, "", AVERAGE(D$2:D543))</f>
        <v>14.773062730627306</v>
      </c>
    </row>
    <row r="545" spans="1:33" x14ac:dyDescent="0.25">
      <c r="A545" t="s">
        <v>80</v>
      </c>
      <c r="B545" t="s">
        <v>38</v>
      </c>
      <c r="C545" s="1">
        <v>43102</v>
      </c>
      <c r="D545">
        <v>23</v>
      </c>
      <c r="E545">
        <v>7475</v>
      </c>
      <c r="F545">
        <v>15.637826090000001</v>
      </c>
      <c r="G545">
        <v>325</v>
      </c>
      <c r="H545">
        <v>60</v>
      </c>
      <c r="I545">
        <v>2644</v>
      </c>
      <c r="J545">
        <v>6</v>
      </c>
      <c r="K545">
        <v>400</v>
      </c>
      <c r="L545">
        <v>4.2</v>
      </c>
      <c r="M545">
        <v>126</v>
      </c>
      <c r="N545">
        <v>20</v>
      </c>
      <c r="O545">
        <v>8</v>
      </c>
      <c r="P545">
        <v>2</v>
      </c>
      <c r="Q545">
        <v>2</v>
      </c>
      <c r="R545">
        <v>2018</v>
      </c>
      <c r="S545">
        <v>14.556962029999999</v>
      </c>
      <c r="T545">
        <v>2992</v>
      </c>
      <c r="U545">
        <v>23.99</v>
      </c>
      <c r="V545">
        <v>4.3</v>
      </c>
      <c r="W545">
        <v>12.55</v>
      </c>
      <c r="X545">
        <v>89.99</v>
      </c>
      <c r="Y545">
        <v>4.0999999999999996</v>
      </c>
      <c r="Z545">
        <v>16.307647060000001</v>
      </c>
      <c r="AA545">
        <v>58.99</v>
      </c>
      <c r="AB545">
        <v>3.9</v>
      </c>
      <c r="AC545">
        <v>19.574999999999999</v>
      </c>
      <c r="AD545">
        <v>325</v>
      </c>
      <c r="AE545">
        <f>Table1[[#This Row],[total_price]]/Table1[[#This Row],[qty]]</f>
        <v>325</v>
      </c>
      <c r="AF545">
        <f t="shared" si="8"/>
        <v>325</v>
      </c>
      <c r="AG545">
        <f>IF(ROW()=2, "", AVERAGE(D$2:D544))</f>
        <v>14.764272559852671</v>
      </c>
    </row>
    <row r="546" spans="1:33" x14ac:dyDescent="0.25">
      <c r="A546" t="s">
        <v>80</v>
      </c>
      <c r="B546" t="s">
        <v>38</v>
      </c>
      <c r="C546" s="1">
        <v>43103</v>
      </c>
      <c r="D546">
        <v>28</v>
      </c>
      <c r="E546">
        <v>9125</v>
      </c>
      <c r="F546">
        <v>19.370357139999999</v>
      </c>
      <c r="G546">
        <v>325.89285710000001</v>
      </c>
      <c r="H546">
        <v>60</v>
      </c>
      <c r="I546">
        <v>2644</v>
      </c>
      <c r="J546">
        <v>6</v>
      </c>
      <c r="K546">
        <v>400</v>
      </c>
      <c r="L546">
        <v>4.2</v>
      </c>
      <c r="M546">
        <v>169</v>
      </c>
      <c r="N546">
        <v>22</v>
      </c>
      <c r="O546">
        <v>9</v>
      </c>
      <c r="P546">
        <v>1</v>
      </c>
      <c r="Q546">
        <v>3</v>
      </c>
      <c r="R546">
        <v>2018</v>
      </c>
      <c r="S546">
        <v>17.72151899</v>
      </c>
      <c r="T546">
        <v>2992</v>
      </c>
      <c r="U546">
        <v>23.99</v>
      </c>
      <c r="V546">
        <v>4.3</v>
      </c>
      <c r="W546">
        <v>14.19875</v>
      </c>
      <c r="X546">
        <v>83.74</v>
      </c>
      <c r="Y546">
        <v>4.0999999999999996</v>
      </c>
      <c r="Z546">
        <v>11.876875</v>
      </c>
      <c r="AA546">
        <v>58.99</v>
      </c>
      <c r="AB546">
        <v>3.9</v>
      </c>
      <c r="AC546">
        <v>15.228</v>
      </c>
      <c r="AD546">
        <v>325</v>
      </c>
      <c r="AE546">
        <f>Table1[[#This Row],[total_price]]/Table1[[#This Row],[qty]]</f>
        <v>325.89285714285717</v>
      </c>
      <c r="AF546">
        <f t="shared" si="8"/>
        <v>325</v>
      </c>
      <c r="AG546">
        <f>IF(ROW()=2, "", AVERAGE(D$2:D545))</f>
        <v>14.779411764705882</v>
      </c>
    </row>
    <row r="547" spans="1:33" x14ac:dyDescent="0.25">
      <c r="A547" t="s">
        <v>80</v>
      </c>
      <c r="B547" t="s">
        <v>38</v>
      </c>
      <c r="C547" s="1">
        <v>43104</v>
      </c>
      <c r="D547">
        <v>21</v>
      </c>
      <c r="E547">
        <v>6930</v>
      </c>
      <c r="F547">
        <v>17.309047620000001</v>
      </c>
      <c r="G547">
        <v>330</v>
      </c>
      <c r="H547">
        <v>60</v>
      </c>
      <c r="I547">
        <v>2644</v>
      </c>
      <c r="J547">
        <v>6</v>
      </c>
      <c r="K547">
        <v>400</v>
      </c>
      <c r="L547">
        <v>4.2</v>
      </c>
      <c r="M547">
        <v>118</v>
      </c>
      <c r="N547">
        <v>21</v>
      </c>
      <c r="O547">
        <v>9</v>
      </c>
      <c r="P547">
        <v>1</v>
      </c>
      <c r="Q547">
        <v>4</v>
      </c>
      <c r="R547">
        <v>2018</v>
      </c>
      <c r="S547">
        <v>13.29113924</v>
      </c>
      <c r="T547">
        <v>2992</v>
      </c>
      <c r="U547">
        <v>330</v>
      </c>
      <c r="V547">
        <v>4.2</v>
      </c>
      <c r="W547">
        <v>17.309047620000001</v>
      </c>
      <c r="X547">
        <v>79.989999999999995</v>
      </c>
      <c r="Y547">
        <v>4.0999999999999996</v>
      </c>
      <c r="Z547">
        <v>14.484999999999999</v>
      </c>
      <c r="AA547">
        <v>58.99</v>
      </c>
      <c r="AB547">
        <v>3.9</v>
      </c>
      <c r="AC547">
        <v>16.302727269999998</v>
      </c>
      <c r="AD547">
        <v>325.89285710000001</v>
      </c>
      <c r="AE547">
        <f>Table1[[#This Row],[total_price]]/Table1[[#This Row],[qty]]</f>
        <v>330</v>
      </c>
      <c r="AF547">
        <f t="shared" si="8"/>
        <v>325.89285714285717</v>
      </c>
      <c r="AG547">
        <f>IF(ROW()=2, "", AVERAGE(D$2:D546))</f>
        <v>14.803669724770643</v>
      </c>
    </row>
    <row r="548" spans="1:33" x14ac:dyDescent="0.25">
      <c r="A548" t="s">
        <v>80</v>
      </c>
      <c r="B548" t="s">
        <v>38</v>
      </c>
      <c r="C548" s="1">
        <v>43105</v>
      </c>
      <c r="D548">
        <v>19</v>
      </c>
      <c r="E548">
        <v>6270</v>
      </c>
      <c r="F548">
        <v>15.74789474</v>
      </c>
      <c r="G548">
        <v>330</v>
      </c>
      <c r="H548">
        <v>60</v>
      </c>
      <c r="I548">
        <v>2644</v>
      </c>
      <c r="J548">
        <v>6</v>
      </c>
      <c r="K548">
        <v>400</v>
      </c>
      <c r="L548">
        <v>4.2</v>
      </c>
      <c r="M548">
        <v>159</v>
      </c>
      <c r="N548">
        <v>23</v>
      </c>
      <c r="O548">
        <v>8</v>
      </c>
      <c r="P548">
        <v>3</v>
      </c>
      <c r="Q548">
        <v>5</v>
      </c>
      <c r="R548">
        <v>2018</v>
      </c>
      <c r="S548">
        <v>12.025316460000001</v>
      </c>
      <c r="T548">
        <v>2992</v>
      </c>
      <c r="U548">
        <v>23.99</v>
      </c>
      <c r="V548">
        <v>4.3</v>
      </c>
      <c r="W548">
        <v>7.9885714290000003</v>
      </c>
      <c r="X548">
        <v>79.989999999999995</v>
      </c>
      <c r="Y548">
        <v>4.0999999999999996</v>
      </c>
      <c r="Z548">
        <v>21.943124999999998</v>
      </c>
      <c r="AA548">
        <v>58.99</v>
      </c>
      <c r="AB548">
        <v>3.9</v>
      </c>
      <c r="AC548">
        <v>9.4224999999999994</v>
      </c>
      <c r="AD548">
        <v>330</v>
      </c>
      <c r="AE548">
        <f>Table1[[#This Row],[total_price]]/Table1[[#This Row],[qty]]</f>
        <v>330</v>
      </c>
      <c r="AF548">
        <f t="shared" si="8"/>
        <v>330</v>
      </c>
      <c r="AG548">
        <f>IF(ROW()=2, "", AVERAGE(D$2:D547))</f>
        <v>14.815018315018316</v>
      </c>
    </row>
    <row r="549" spans="1:33" x14ac:dyDescent="0.25">
      <c r="A549" t="s">
        <v>80</v>
      </c>
      <c r="B549" t="s">
        <v>38</v>
      </c>
      <c r="C549" s="1">
        <v>43106</v>
      </c>
      <c r="D549">
        <v>16</v>
      </c>
      <c r="E549">
        <v>5280</v>
      </c>
      <c r="F549">
        <v>20.298749999999998</v>
      </c>
      <c r="G549">
        <v>330</v>
      </c>
      <c r="H549">
        <v>60</v>
      </c>
      <c r="I549">
        <v>2644</v>
      </c>
      <c r="J549">
        <v>6</v>
      </c>
      <c r="K549">
        <v>400</v>
      </c>
      <c r="L549">
        <v>4.2</v>
      </c>
      <c r="M549">
        <v>131</v>
      </c>
      <c r="N549">
        <v>21</v>
      </c>
      <c r="O549">
        <v>9</v>
      </c>
      <c r="P549">
        <v>0</v>
      </c>
      <c r="Q549">
        <v>6</v>
      </c>
      <c r="R549">
        <v>2018</v>
      </c>
      <c r="S549">
        <v>10.126582279999999</v>
      </c>
      <c r="T549">
        <v>2992</v>
      </c>
      <c r="U549">
        <v>23.99</v>
      </c>
      <c r="V549">
        <v>4.3</v>
      </c>
      <c r="W549">
        <v>16.27</v>
      </c>
      <c r="X549">
        <v>79.989999999999995</v>
      </c>
      <c r="Y549">
        <v>4.0999999999999996</v>
      </c>
      <c r="Z549">
        <v>13.36230769</v>
      </c>
      <c r="AA549">
        <v>58.99</v>
      </c>
      <c r="AB549">
        <v>3.9</v>
      </c>
      <c r="AC549">
        <v>16.43</v>
      </c>
      <c r="AD549">
        <v>330</v>
      </c>
      <c r="AE549">
        <f>Table1[[#This Row],[total_price]]/Table1[[#This Row],[qty]]</f>
        <v>330</v>
      </c>
      <c r="AF549">
        <f t="shared" si="8"/>
        <v>330</v>
      </c>
      <c r="AG549">
        <f>IF(ROW()=2, "", AVERAGE(D$2:D548))</f>
        <v>14.822669104204753</v>
      </c>
    </row>
    <row r="550" spans="1:33" x14ac:dyDescent="0.25">
      <c r="A550" t="s">
        <v>80</v>
      </c>
      <c r="B550" t="s">
        <v>38</v>
      </c>
      <c r="C550" s="1">
        <v>43107</v>
      </c>
      <c r="D550">
        <v>13</v>
      </c>
      <c r="E550">
        <v>4290</v>
      </c>
      <c r="F550">
        <v>28.42</v>
      </c>
      <c r="G550">
        <v>330</v>
      </c>
      <c r="H550">
        <v>60</v>
      </c>
      <c r="I550">
        <v>2644</v>
      </c>
      <c r="J550">
        <v>6</v>
      </c>
      <c r="K550">
        <v>400</v>
      </c>
      <c r="L550">
        <v>4.2</v>
      </c>
      <c r="M550">
        <v>113</v>
      </c>
      <c r="N550">
        <v>22</v>
      </c>
      <c r="O550">
        <v>9</v>
      </c>
      <c r="P550">
        <v>1</v>
      </c>
      <c r="Q550">
        <v>7</v>
      </c>
      <c r="R550">
        <v>2018</v>
      </c>
      <c r="S550">
        <v>8.2278481009999993</v>
      </c>
      <c r="T550">
        <v>2992</v>
      </c>
      <c r="U550">
        <v>23.99</v>
      </c>
      <c r="V550">
        <v>4.3</v>
      </c>
      <c r="W550">
        <v>18.809999999999999</v>
      </c>
      <c r="X550">
        <v>79.989999999999995</v>
      </c>
      <c r="Y550">
        <v>4.0999999999999996</v>
      </c>
      <c r="Z550">
        <v>16.745000000000001</v>
      </c>
      <c r="AA550">
        <v>58.99</v>
      </c>
      <c r="AB550">
        <v>3.9</v>
      </c>
      <c r="AC550">
        <v>7.67</v>
      </c>
      <c r="AD550">
        <v>330</v>
      </c>
      <c r="AE550">
        <f>Table1[[#This Row],[total_price]]/Table1[[#This Row],[qty]]</f>
        <v>330</v>
      </c>
      <c r="AF550">
        <f t="shared" si="8"/>
        <v>330</v>
      </c>
      <c r="AG550">
        <f>IF(ROW()=2, "", AVERAGE(D$2:D549))</f>
        <v>14.824817518248175</v>
      </c>
    </row>
    <row r="551" spans="1:33" x14ac:dyDescent="0.25">
      <c r="A551" t="s">
        <v>80</v>
      </c>
      <c r="B551" t="s">
        <v>38</v>
      </c>
      <c r="C551" s="1">
        <v>43108</v>
      </c>
      <c r="D551">
        <v>28</v>
      </c>
      <c r="E551">
        <v>9240</v>
      </c>
      <c r="F551">
        <v>20.505357140000001</v>
      </c>
      <c r="G551">
        <v>330</v>
      </c>
      <c r="H551">
        <v>60</v>
      </c>
      <c r="I551">
        <v>2644</v>
      </c>
      <c r="J551">
        <v>6</v>
      </c>
      <c r="K551">
        <v>400</v>
      </c>
      <c r="L551">
        <v>4.2</v>
      </c>
      <c r="M551">
        <v>127</v>
      </c>
      <c r="N551">
        <v>23</v>
      </c>
      <c r="O551">
        <v>8</v>
      </c>
      <c r="P551">
        <v>1</v>
      </c>
      <c r="Q551">
        <v>8</v>
      </c>
      <c r="R551">
        <v>2018</v>
      </c>
      <c r="S551">
        <v>16.968867599999999</v>
      </c>
      <c r="T551">
        <v>2992</v>
      </c>
      <c r="U551">
        <v>23.99</v>
      </c>
      <c r="V551">
        <v>4.3</v>
      </c>
      <c r="W551">
        <v>16.77</v>
      </c>
      <c r="X551">
        <v>82.821428569999995</v>
      </c>
      <c r="Y551">
        <v>4.0999999999999996</v>
      </c>
      <c r="Z551">
        <v>12.41857143</v>
      </c>
      <c r="AA551">
        <v>58.99</v>
      </c>
      <c r="AB551">
        <v>3.9</v>
      </c>
      <c r="AC551">
        <v>12.08333333</v>
      </c>
      <c r="AD551">
        <v>330</v>
      </c>
      <c r="AE551">
        <f>Table1[[#This Row],[total_price]]/Table1[[#This Row],[qty]]</f>
        <v>330</v>
      </c>
      <c r="AF551">
        <f t="shared" si="8"/>
        <v>330</v>
      </c>
      <c r="AG551">
        <f>IF(ROW()=2, "", AVERAGE(D$2:D550))</f>
        <v>14.821493624772314</v>
      </c>
    </row>
    <row r="552" spans="1:33" x14ac:dyDescent="0.25">
      <c r="A552" t="s">
        <v>81</v>
      </c>
      <c r="B552" t="s">
        <v>33</v>
      </c>
      <c r="C552" s="1">
        <v>42737</v>
      </c>
      <c r="D552">
        <v>1</v>
      </c>
      <c r="E552">
        <v>99.99</v>
      </c>
      <c r="F552">
        <v>28.89</v>
      </c>
      <c r="G552">
        <v>99.99</v>
      </c>
      <c r="H552">
        <v>58</v>
      </c>
      <c r="I552">
        <v>1893</v>
      </c>
      <c r="J552">
        <v>1</v>
      </c>
      <c r="K552">
        <v>5950</v>
      </c>
      <c r="L552">
        <v>4.3</v>
      </c>
      <c r="M552">
        <v>3</v>
      </c>
      <c r="N552">
        <v>20</v>
      </c>
      <c r="O552">
        <v>8</v>
      </c>
      <c r="P552">
        <v>2</v>
      </c>
      <c r="Q552">
        <v>2</v>
      </c>
      <c r="R552">
        <v>2017</v>
      </c>
      <c r="S552">
        <v>7.5102040819999996</v>
      </c>
      <c r="T552">
        <v>8000</v>
      </c>
      <c r="U552">
        <v>99.99</v>
      </c>
      <c r="V552">
        <v>4.3</v>
      </c>
      <c r="W552">
        <v>28.89</v>
      </c>
      <c r="X552">
        <v>99.99</v>
      </c>
      <c r="Y552">
        <v>4.3</v>
      </c>
      <c r="Z552">
        <v>28.89</v>
      </c>
      <c r="AA552">
        <v>99.99</v>
      </c>
      <c r="AB552">
        <v>4.3</v>
      </c>
      <c r="AC552">
        <v>28.89</v>
      </c>
      <c r="AD552">
        <v>99.94</v>
      </c>
      <c r="AE552">
        <f>Table1[[#This Row],[total_price]]/Table1[[#This Row],[qty]]</f>
        <v>99.99</v>
      </c>
      <c r="AF552" t="str">
        <f t="shared" si="8"/>
        <v/>
      </c>
      <c r="AG552">
        <f>IF(ROW()=2, "", AVERAGE(D$2:D551))</f>
        <v>14.845454545454546</v>
      </c>
    </row>
    <row r="553" spans="1:33" x14ac:dyDescent="0.25">
      <c r="A553" t="s">
        <v>81</v>
      </c>
      <c r="B553" t="s">
        <v>33</v>
      </c>
      <c r="C553" s="1">
        <v>42738</v>
      </c>
      <c r="D553">
        <v>5</v>
      </c>
      <c r="E553">
        <v>499.95</v>
      </c>
      <c r="F553">
        <v>31.946000000000002</v>
      </c>
      <c r="G553">
        <v>99.99</v>
      </c>
      <c r="H553">
        <v>58</v>
      </c>
      <c r="I553">
        <v>1893</v>
      </c>
      <c r="J553">
        <v>1</v>
      </c>
      <c r="K553">
        <v>5950</v>
      </c>
      <c r="L553">
        <v>4.3</v>
      </c>
      <c r="M553">
        <v>21</v>
      </c>
      <c r="N553">
        <v>23</v>
      </c>
      <c r="O553">
        <v>8</v>
      </c>
      <c r="P553">
        <v>1</v>
      </c>
      <c r="Q553">
        <v>3</v>
      </c>
      <c r="R553">
        <v>2017</v>
      </c>
      <c r="S553">
        <v>8.5510204079999994</v>
      </c>
      <c r="T553">
        <v>8000</v>
      </c>
      <c r="U553">
        <v>99.99</v>
      </c>
      <c r="V553">
        <v>4.3</v>
      </c>
      <c r="W553">
        <v>31.946000000000002</v>
      </c>
      <c r="X553">
        <v>99.99</v>
      </c>
      <c r="Y553">
        <v>4.3</v>
      </c>
      <c r="Z553">
        <v>31.946000000000002</v>
      </c>
      <c r="AA553">
        <v>99.99</v>
      </c>
      <c r="AB553">
        <v>4.3</v>
      </c>
      <c r="AC553">
        <v>31.946000000000002</v>
      </c>
      <c r="AD553">
        <v>99.99</v>
      </c>
      <c r="AE553">
        <f>Table1[[#This Row],[total_price]]/Table1[[#This Row],[qty]]</f>
        <v>99.99</v>
      </c>
      <c r="AF553">
        <f t="shared" si="8"/>
        <v>99.99</v>
      </c>
      <c r="AG553">
        <f>IF(ROW()=2, "", AVERAGE(D$2:D552))</f>
        <v>14.820326678765881</v>
      </c>
    </row>
    <row r="554" spans="1:33" x14ac:dyDescent="0.25">
      <c r="A554" t="s">
        <v>81</v>
      </c>
      <c r="B554" t="s">
        <v>33</v>
      </c>
      <c r="C554" s="1">
        <v>42740</v>
      </c>
      <c r="D554">
        <v>4</v>
      </c>
      <c r="E554">
        <v>439.96</v>
      </c>
      <c r="F554">
        <v>32.092500000000001</v>
      </c>
      <c r="G554">
        <v>109.99</v>
      </c>
      <c r="H554">
        <v>58</v>
      </c>
      <c r="I554">
        <v>1893</v>
      </c>
      <c r="J554">
        <v>1</v>
      </c>
      <c r="K554">
        <v>5950</v>
      </c>
      <c r="L554">
        <v>4.3</v>
      </c>
      <c r="M554">
        <v>34</v>
      </c>
      <c r="N554">
        <v>23</v>
      </c>
      <c r="O554">
        <v>8</v>
      </c>
      <c r="P554">
        <v>1</v>
      </c>
      <c r="Q554">
        <v>5</v>
      </c>
      <c r="R554">
        <v>2017</v>
      </c>
      <c r="S554">
        <v>4.0408163269999999</v>
      </c>
      <c r="T554">
        <v>8000</v>
      </c>
      <c r="U554">
        <v>59.9</v>
      </c>
      <c r="V554">
        <v>4.0999999999999996</v>
      </c>
      <c r="W554">
        <v>19.732500000000002</v>
      </c>
      <c r="X554">
        <v>59.9</v>
      </c>
      <c r="Y554">
        <v>4.2</v>
      </c>
      <c r="Z554">
        <v>26.24666667</v>
      </c>
      <c r="AA554">
        <v>109.99</v>
      </c>
      <c r="AB554">
        <v>4.3</v>
      </c>
      <c r="AC554">
        <v>32.092500000000001</v>
      </c>
      <c r="AD554">
        <v>109.94</v>
      </c>
      <c r="AE554">
        <f>Table1[[#This Row],[total_price]]/Table1[[#This Row],[qty]]</f>
        <v>109.99</v>
      </c>
      <c r="AF554">
        <f t="shared" si="8"/>
        <v>99.99</v>
      </c>
      <c r="AG554">
        <f>IF(ROW()=2, "", AVERAGE(D$2:D553))</f>
        <v>14.802536231884059</v>
      </c>
    </row>
    <row r="555" spans="1:33" x14ac:dyDescent="0.25">
      <c r="A555" t="s">
        <v>81</v>
      </c>
      <c r="B555" t="s">
        <v>33</v>
      </c>
      <c r="C555" s="1">
        <v>42741</v>
      </c>
      <c r="D555">
        <v>6</v>
      </c>
      <c r="E555">
        <v>659.94</v>
      </c>
      <c r="F555">
        <v>38.35166667</v>
      </c>
      <c r="G555">
        <v>109.99</v>
      </c>
      <c r="H555">
        <v>58</v>
      </c>
      <c r="I555">
        <v>1893</v>
      </c>
      <c r="J555">
        <v>1</v>
      </c>
      <c r="K555">
        <v>5950</v>
      </c>
      <c r="L555">
        <v>4.3</v>
      </c>
      <c r="M555">
        <v>26</v>
      </c>
      <c r="N555">
        <v>22</v>
      </c>
      <c r="O555">
        <v>8</v>
      </c>
      <c r="P555">
        <v>1</v>
      </c>
      <c r="Q555">
        <v>6</v>
      </c>
      <c r="R555">
        <v>2017</v>
      </c>
      <c r="S555">
        <v>9.0612244900000007</v>
      </c>
      <c r="T555">
        <v>8000</v>
      </c>
      <c r="U555">
        <v>59.9</v>
      </c>
      <c r="V555">
        <v>4.0999999999999996</v>
      </c>
      <c r="W555">
        <v>17.670000000000002</v>
      </c>
      <c r="X555">
        <v>59.9</v>
      </c>
      <c r="Y555">
        <v>4.2</v>
      </c>
      <c r="Z555">
        <v>16.260000000000002</v>
      </c>
      <c r="AA555">
        <v>109.99</v>
      </c>
      <c r="AB555">
        <v>4.3</v>
      </c>
      <c r="AC555">
        <v>38.35166667</v>
      </c>
      <c r="AD555">
        <v>109.99</v>
      </c>
      <c r="AE555">
        <f>Table1[[#This Row],[total_price]]/Table1[[#This Row],[qty]]</f>
        <v>109.99000000000001</v>
      </c>
      <c r="AF555">
        <f t="shared" si="8"/>
        <v>109.99</v>
      </c>
      <c r="AG555">
        <f>IF(ROW()=2, "", AVERAGE(D$2:D554))</f>
        <v>14.783001808318264</v>
      </c>
    </row>
    <row r="556" spans="1:33" x14ac:dyDescent="0.25">
      <c r="A556" t="s">
        <v>81</v>
      </c>
      <c r="B556" t="s">
        <v>33</v>
      </c>
      <c r="C556" s="1">
        <v>42742</v>
      </c>
      <c r="D556">
        <v>1</v>
      </c>
      <c r="E556">
        <v>120</v>
      </c>
      <c r="F556">
        <v>34.200000000000003</v>
      </c>
      <c r="G556">
        <v>120</v>
      </c>
      <c r="H556">
        <v>58</v>
      </c>
      <c r="I556">
        <v>1893</v>
      </c>
      <c r="J556">
        <v>1</v>
      </c>
      <c r="K556">
        <v>5950</v>
      </c>
      <c r="L556">
        <v>4.3</v>
      </c>
      <c r="M556">
        <v>74</v>
      </c>
      <c r="N556">
        <v>21</v>
      </c>
      <c r="O556">
        <v>10</v>
      </c>
      <c r="P556">
        <v>1</v>
      </c>
      <c r="Q556">
        <v>7</v>
      </c>
      <c r="R556">
        <v>2017</v>
      </c>
      <c r="S556">
        <v>7.5102040819999996</v>
      </c>
      <c r="T556">
        <v>8000</v>
      </c>
      <c r="U556">
        <v>59.9</v>
      </c>
      <c r="V556">
        <v>4.0999999999999996</v>
      </c>
      <c r="W556">
        <v>16.626428570000002</v>
      </c>
      <c r="X556">
        <v>59.9</v>
      </c>
      <c r="Y556">
        <v>4.2</v>
      </c>
      <c r="Z556">
        <v>16.111578949999998</v>
      </c>
      <c r="AA556">
        <v>59.9</v>
      </c>
      <c r="AB556">
        <v>4.0999999999999996</v>
      </c>
      <c r="AC556">
        <v>15.392307690000001</v>
      </c>
      <c r="AD556">
        <v>109.99</v>
      </c>
      <c r="AE556">
        <f>Table1[[#This Row],[total_price]]/Table1[[#This Row],[qty]]</f>
        <v>120</v>
      </c>
      <c r="AF556">
        <f t="shared" si="8"/>
        <v>109.99000000000001</v>
      </c>
      <c r="AG556">
        <f>IF(ROW()=2, "", AVERAGE(D$2:D555))</f>
        <v>14.767148014440433</v>
      </c>
    </row>
    <row r="557" spans="1:33" x14ac:dyDescent="0.25">
      <c r="A557" t="s">
        <v>81</v>
      </c>
      <c r="B557" t="s">
        <v>33</v>
      </c>
      <c r="C557" s="1">
        <v>42743</v>
      </c>
      <c r="D557">
        <v>2</v>
      </c>
      <c r="E557">
        <v>240</v>
      </c>
      <c r="F557">
        <v>33.83</v>
      </c>
      <c r="G557">
        <v>120</v>
      </c>
      <c r="H557">
        <v>58</v>
      </c>
      <c r="I557">
        <v>1893</v>
      </c>
      <c r="J557">
        <v>1</v>
      </c>
      <c r="K557">
        <v>5950</v>
      </c>
      <c r="L557">
        <v>4.3</v>
      </c>
      <c r="M557">
        <v>113</v>
      </c>
      <c r="N557">
        <v>23</v>
      </c>
      <c r="O557">
        <v>8</v>
      </c>
      <c r="P557">
        <v>1</v>
      </c>
      <c r="Q557">
        <v>8</v>
      </c>
      <c r="R557">
        <v>2017</v>
      </c>
      <c r="S557">
        <v>7.0204081629999999</v>
      </c>
      <c r="T557">
        <v>8000</v>
      </c>
      <c r="U557">
        <v>59.9</v>
      </c>
      <c r="V557">
        <v>4.0999999999999996</v>
      </c>
      <c r="W557">
        <v>18.162307689999999</v>
      </c>
      <c r="X557">
        <v>59.9</v>
      </c>
      <c r="Y557">
        <v>4.2</v>
      </c>
      <c r="Z557">
        <v>17.68111111</v>
      </c>
      <c r="AA557">
        <v>59.9</v>
      </c>
      <c r="AB557">
        <v>4.0999999999999996</v>
      </c>
      <c r="AC557">
        <v>18.05043478</v>
      </c>
      <c r="AD557">
        <v>120</v>
      </c>
      <c r="AE557">
        <f>Table1[[#This Row],[total_price]]/Table1[[#This Row],[qty]]</f>
        <v>120</v>
      </c>
      <c r="AF557">
        <f t="shared" si="8"/>
        <v>120</v>
      </c>
      <c r="AG557">
        <f>IF(ROW()=2, "", AVERAGE(D$2:D556))</f>
        <v>14.742342342342342</v>
      </c>
    </row>
    <row r="558" spans="1:33" x14ac:dyDescent="0.25">
      <c r="A558" t="s">
        <v>81</v>
      </c>
      <c r="B558" t="s">
        <v>33</v>
      </c>
      <c r="C558" s="1">
        <v>42744</v>
      </c>
      <c r="D558">
        <v>7</v>
      </c>
      <c r="E558">
        <v>735</v>
      </c>
      <c r="F558">
        <v>30.04</v>
      </c>
      <c r="G558">
        <v>102.5</v>
      </c>
      <c r="H558">
        <v>58</v>
      </c>
      <c r="I558">
        <v>1893</v>
      </c>
      <c r="J558">
        <v>1</v>
      </c>
      <c r="K558">
        <v>5950</v>
      </c>
      <c r="L558">
        <v>4.3</v>
      </c>
      <c r="M558">
        <v>115</v>
      </c>
      <c r="N558">
        <v>21</v>
      </c>
      <c r="O558">
        <v>9</v>
      </c>
      <c r="P558">
        <v>1</v>
      </c>
      <c r="Q558">
        <v>9</v>
      </c>
      <c r="R558">
        <v>2017</v>
      </c>
      <c r="S558">
        <v>7.1428571429999996</v>
      </c>
      <c r="T558">
        <v>8000</v>
      </c>
      <c r="U558">
        <v>59.9</v>
      </c>
      <c r="V558">
        <v>4.0999999999999996</v>
      </c>
      <c r="W558">
        <v>17.187027029999999</v>
      </c>
      <c r="X558">
        <v>59.9</v>
      </c>
      <c r="Y558">
        <v>4.2</v>
      </c>
      <c r="Z558">
        <v>16.811764709999999</v>
      </c>
      <c r="AA558">
        <v>59.9</v>
      </c>
      <c r="AB558">
        <v>4.0999999999999996</v>
      </c>
      <c r="AC558">
        <v>16.29461538</v>
      </c>
      <c r="AD558">
        <v>120</v>
      </c>
      <c r="AE558">
        <f>Table1[[#This Row],[total_price]]/Table1[[#This Row],[qty]]</f>
        <v>105</v>
      </c>
      <c r="AF558">
        <f t="shared" si="8"/>
        <v>120</v>
      </c>
      <c r="AG558">
        <f>IF(ROW()=2, "", AVERAGE(D$2:D557))</f>
        <v>14.719424460431656</v>
      </c>
    </row>
    <row r="559" spans="1:33" x14ac:dyDescent="0.25">
      <c r="A559" t="s">
        <v>81</v>
      </c>
      <c r="B559" t="s">
        <v>33</v>
      </c>
      <c r="C559" s="1">
        <v>42745</v>
      </c>
      <c r="D559">
        <v>17</v>
      </c>
      <c r="E559">
        <v>1619.93</v>
      </c>
      <c r="F559">
        <v>41.089411759999997</v>
      </c>
      <c r="G559">
        <v>95.29</v>
      </c>
      <c r="H559">
        <v>58</v>
      </c>
      <c r="I559">
        <v>1893</v>
      </c>
      <c r="J559">
        <v>1</v>
      </c>
      <c r="K559">
        <v>5950</v>
      </c>
      <c r="L559">
        <v>4.3</v>
      </c>
      <c r="M559">
        <v>146</v>
      </c>
      <c r="N559">
        <v>22</v>
      </c>
      <c r="O559">
        <v>9</v>
      </c>
      <c r="P559">
        <v>2</v>
      </c>
      <c r="Q559">
        <v>10</v>
      </c>
      <c r="R559">
        <v>2017</v>
      </c>
      <c r="S559">
        <v>17.346938779999999</v>
      </c>
      <c r="T559">
        <v>8000</v>
      </c>
      <c r="U559">
        <v>59.9</v>
      </c>
      <c r="V559">
        <v>4.0999999999999996</v>
      </c>
      <c r="W559">
        <v>18.065897440000001</v>
      </c>
      <c r="X559">
        <v>59.9</v>
      </c>
      <c r="Y559">
        <v>4.2</v>
      </c>
      <c r="Z559">
        <v>17.595483869999999</v>
      </c>
      <c r="AA559">
        <v>59.9</v>
      </c>
      <c r="AB559">
        <v>4.0999999999999996</v>
      </c>
      <c r="AC559">
        <v>16.814166669999999</v>
      </c>
      <c r="AD559">
        <v>102.5</v>
      </c>
      <c r="AE559">
        <f>Table1[[#This Row],[total_price]]/Table1[[#This Row],[qty]]</f>
        <v>95.29</v>
      </c>
      <c r="AF559">
        <f t="shared" si="8"/>
        <v>105</v>
      </c>
      <c r="AG559">
        <f>IF(ROW()=2, "", AVERAGE(D$2:D558))</f>
        <v>14.70556552962298</v>
      </c>
    </row>
    <row r="560" spans="1:33" x14ac:dyDescent="0.25">
      <c r="A560" t="s">
        <v>81</v>
      </c>
      <c r="B560" t="s">
        <v>33</v>
      </c>
      <c r="C560" s="1">
        <v>42746</v>
      </c>
      <c r="D560">
        <v>28</v>
      </c>
      <c r="E560">
        <v>2519.7199999999998</v>
      </c>
      <c r="F560">
        <v>39.336785710000001</v>
      </c>
      <c r="G560">
        <v>89.99</v>
      </c>
      <c r="H560">
        <v>58</v>
      </c>
      <c r="I560">
        <v>1893</v>
      </c>
      <c r="J560">
        <v>1</v>
      </c>
      <c r="K560">
        <v>5950</v>
      </c>
      <c r="L560">
        <v>4.3</v>
      </c>
      <c r="M560">
        <v>339</v>
      </c>
      <c r="N560">
        <v>22</v>
      </c>
      <c r="O560">
        <v>8</v>
      </c>
      <c r="P560">
        <v>4</v>
      </c>
      <c r="Q560">
        <v>11</v>
      </c>
      <c r="R560">
        <v>2017</v>
      </c>
      <c r="S560">
        <v>28.571428569999998</v>
      </c>
      <c r="T560">
        <v>8000</v>
      </c>
      <c r="U560">
        <v>52.406944439999997</v>
      </c>
      <c r="V560">
        <v>4.0999999999999996</v>
      </c>
      <c r="W560">
        <v>17.06747253</v>
      </c>
      <c r="X560">
        <v>53.648281249999997</v>
      </c>
      <c r="Y560">
        <v>4.2</v>
      </c>
      <c r="Z560">
        <v>16.075862069999999</v>
      </c>
      <c r="AA560">
        <v>53.785714290000001</v>
      </c>
      <c r="AB560">
        <v>4.0999999999999996</v>
      </c>
      <c r="AC560">
        <v>18.27550725</v>
      </c>
      <c r="AD560">
        <v>95.29</v>
      </c>
      <c r="AE560">
        <f>Table1[[#This Row],[total_price]]/Table1[[#This Row],[qty]]</f>
        <v>89.99</v>
      </c>
      <c r="AF560">
        <f t="shared" si="8"/>
        <v>95.29</v>
      </c>
      <c r="AG560">
        <f>IF(ROW()=2, "", AVERAGE(D$2:D559))</f>
        <v>14.709677419354838</v>
      </c>
    </row>
    <row r="561" spans="1:33" x14ac:dyDescent="0.25">
      <c r="A561" t="s">
        <v>81</v>
      </c>
      <c r="B561" t="s">
        <v>33</v>
      </c>
      <c r="C561" s="1">
        <v>42747</v>
      </c>
      <c r="D561">
        <v>27</v>
      </c>
      <c r="E561">
        <v>2429.73</v>
      </c>
      <c r="F561">
        <v>38.416296299999999</v>
      </c>
      <c r="G561">
        <v>89.99</v>
      </c>
      <c r="H561">
        <v>58</v>
      </c>
      <c r="I561">
        <v>1893</v>
      </c>
      <c r="J561">
        <v>1</v>
      </c>
      <c r="K561">
        <v>5950</v>
      </c>
      <c r="L561">
        <v>4.3</v>
      </c>
      <c r="M561">
        <v>184</v>
      </c>
      <c r="N561">
        <v>21</v>
      </c>
      <c r="O561">
        <v>10</v>
      </c>
      <c r="P561">
        <v>1</v>
      </c>
      <c r="Q561">
        <v>12</v>
      </c>
      <c r="R561">
        <v>2017</v>
      </c>
      <c r="S561">
        <v>27.55102041</v>
      </c>
      <c r="T561">
        <v>8000</v>
      </c>
      <c r="U561">
        <v>55.1</v>
      </c>
      <c r="V561">
        <v>4.0999999999999996</v>
      </c>
      <c r="W561">
        <v>15.759607839999999</v>
      </c>
      <c r="X561">
        <v>55.424999999999997</v>
      </c>
      <c r="Y561">
        <v>4.2</v>
      </c>
      <c r="Z561">
        <v>19.184374999999999</v>
      </c>
      <c r="AA561">
        <v>55.75</v>
      </c>
      <c r="AB561">
        <v>4.0999999999999996</v>
      </c>
      <c r="AC561">
        <v>17.267272729999998</v>
      </c>
      <c r="AD561">
        <v>89.99</v>
      </c>
      <c r="AE561">
        <f>Table1[[#This Row],[total_price]]/Table1[[#This Row],[qty]]</f>
        <v>89.99</v>
      </c>
      <c r="AF561">
        <f t="shared" si="8"/>
        <v>89.99</v>
      </c>
      <c r="AG561">
        <f>IF(ROW()=2, "", AVERAGE(D$2:D560))</f>
        <v>14.733452593917709</v>
      </c>
    </row>
    <row r="562" spans="1:33" x14ac:dyDescent="0.25">
      <c r="A562" t="s">
        <v>81</v>
      </c>
      <c r="B562" t="s">
        <v>33</v>
      </c>
      <c r="C562" s="1">
        <v>43101</v>
      </c>
      <c r="D562">
        <v>11</v>
      </c>
      <c r="E562">
        <v>1405</v>
      </c>
      <c r="F562">
        <v>45.97</v>
      </c>
      <c r="G562">
        <v>127.7272727</v>
      </c>
      <c r="H562">
        <v>58</v>
      </c>
      <c r="I562">
        <v>1893</v>
      </c>
      <c r="J562">
        <v>1</v>
      </c>
      <c r="K562">
        <v>5950</v>
      </c>
      <c r="L562">
        <v>4.3</v>
      </c>
      <c r="M562">
        <v>137</v>
      </c>
      <c r="N562">
        <v>23</v>
      </c>
      <c r="O562">
        <v>8</v>
      </c>
      <c r="P562">
        <v>2</v>
      </c>
      <c r="Q562">
        <v>1</v>
      </c>
      <c r="R562">
        <v>2018</v>
      </c>
      <c r="S562">
        <v>22</v>
      </c>
      <c r="T562">
        <v>8000</v>
      </c>
      <c r="U562">
        <v>49.9</v>
      </c>
      <c r="V562">
        <v>4.0999999999999996</v>
      </c>
      <c r="W562">
        <v>19.495000000000001</v>
      </c>
      <c r="X562">
        <v>49.9</v>
      </c>
      <c r="Y562">
        <v>4.2</v>
      </c>
      <c r="Z562">
        <v>15.841034479999999</v>
      </c>
      <c r="AA562">
        <v>49.9</v>
      </c>
      <c r="AB562">
        <v>4.0999999999999996</v>
      </c>
      <c r="AC562">
        <v>16.505128209999999</v>
      </c>
      <c r="AD562">
        <v>89.99</v>
      </c>
      <c r="AE562">
        <f>Table1[[#This Row],[total_price]]/Table1[[#This Row],[qty]]</f>
        <v>127.72727272727273</v>
      </c>
      <c r="AF562">
        <f t="shared" si="8"/>
        <v>89.99</v>
      </c>
      <c r="AG562">
        <f>IF(ROW()=2, "", AVERAGE(D$2:D561))</f>
        <v>14.755357142857143</v>
      </c>
    </row>
    <row r="563" spans="1:33" x14ac:dyDescent="0.25">
      <c r="A563" t="s">
        <v>81</v>
      </c>
      <c r="B563" t="s">
        <v>33</v>
      </c>
      <c r="C563" s="1">
        <v>43102</v>
      </c>
      <c r="D563">
        <v>7</v>
      </c>
      <c r="E563">
        <v>840</v>
      </c>
      <c r="F563">
        <v>43.381428569999997</v>
      </c>
      <c r="G563">
        <v>120</v>
      </c>
      <c r="H563">
        <v>58</v>
      </c>
      <c r="I563">
        <v>1893</v>
      </c>
      <c r="J563">
        <v>1</v>
      </c>
      <c r="K563">
        <v>5950</v>
      </c>
      <c r="L563">
        <v>4.3</v>
      </c>
      <c r="M563">
        <v>160</v>
      </c>
      <c r="N563">
        <v>20</v>
      </c>
      <c r="O563">
        <v>8</v>
      </c>
      <c r="P563">
        <v>2</v>
      </c>
      <c r="Q563">
        <v>2</v>
      </c>
      <c r="R563">
        <v>2018</v>
      </c>
      <c r="S563">
        <v>7.5102040819999996</v>
      </c>
      <c r="T563">
        <v>8000</v>
      </c>
      <c r="U563">
        <v>50.545161290000003</v>
      </c>
      <c r="V563">
        <v>4.0999999999999996</v>
      </c>
      <c r="W563">
        <v>16.611538459999998</v>
      </c>
      <c r="X563">
        <v>50.9</v>
      </c>
      <c r="Y563">
        <v>4.2</v>
      </c>
      <c r="Z563">
        <v>17.519444440000001</v>
      </c>
      <c r="AA563">
        <v>50.357142860000003</v>
      </c>
      <c r="AB563">
        <v>4.0999999999999996</v>
      </c>
      <c r="AC563">
        <v>18.281874999999999</v>
      </c>
      <c r="AD563">
        <v>127.7272727</v>
      </c>
      <c r="AE563">
        <f>Table1[[#This Row],[total_price]]/Table1[[#This Row],[qty]]</f>
        <v>120</v>
      </c>
      <c r="AF563">
        <f t="shared" si="8"/>
        <v>127.72727272727273</v>
      </c>
      <c r="AG563">
        <f>IF(ROW()=2, "", AVERAGE(D$2:D562))</f>
        <v>14.748663101604278</v>
      </c>
    </row>
    <row r="564" spans="1:33" x14ac:dyDescent="0.25">
      <c r="A564" t="s">
        <v>81</v>
      </c>
      <c r="B564" t="s">
        <v>33</v>
      </c>
      <c r="C564" s="1">
        <v>43103</v>
      </c>
      <c r="D564">
        <v>6</v>
      </c>
      <c r="E564">
        <v>660</v>
      </c>
      <c r="F564">
        <v>54.53166667</v>
      </c>
      <c r="G564">
        <v>110</v>
      </c>
      <c r="H564">
        <v>58</v>
      </c>
      <c r="I564">
        <v>1893</v>
      </c>
      <c r="J564">
        <v>1</v>
      </c>
      <c r="K564">
        <v>5950</v>
      </c>
      <c r="L564">
        <v>4.3</v>
      </c>
      <c r="M564">
        <v>116</v>
      </c>
      <c r="N564">
        <v>22</v>
      </c>
      <c r="O564">
        <v>9</v>
      </c>
      <c r="P564">
        <v>1</v>
      </c>
      <c r="Q564">
        <v>3</v>
      </c>
      <c r="R564">
        <v>2018</v>
      </c>
      <c r="S564">
        <v>8.5510204079999994</v>
      </c>
      <c r="T564">
        <v>8000</v>
      </c>
      <c r="U564">
        <v>53.9</v>
      </c>
      <c r="V564">
        <v>4.0999999999999996</v>
      </c>
      <c r="W564">
        <v>20.359677420000001</v>
      </c>
      <c r="X564">
        <v>53.9</v>
      </c>
      <c r="Y564">
        <v>4.2</v>
      </c>
      <c r="Z564">
        <v>21.852857140000001</v>
      </c>
      <c r="AA564">
        <v>53.9</v>
      </c>
      <c r="AB564">
        <v>4.0999999999999996</v>
      </c>
      <c r="AC564">
        <v>19.024230769999999</v>
      </c>
      <c r="AD564">
        <v>120</v>
      </c>
      <c r="AE564">
        <f>Table1[[#This Row],[total_price]]/Table1[[#This Row],[qty]]</f>
        <v>110</v>
      </c>
      <c r="AF564">
        <f t="shared" si="8"/>
        <v>120</v>
      </c>
      <c r="AG564">
        <f>IF(ROW()=2, "", AVERAGE(D$2:D563))</f>
        <v>14.734875444839858</v>
      </c>
    </row>
    <row r="565" spans="1:33" x14ac:dyDescent="0.25">
      <c r="A565" t="s">
        <v>81</v>
      </c>
      <c r="B565" t="s">
        <v>33</v>
      </c>
      <c r="C565" s="1">
        <v>43104</v>
      </c>
      <c r="D565">
        <v>5</v>
      </c>
      <c r="E565">
        <v>550</v>
      </c>
      <c r="F565">
        <v>42.725999999999999</v>
      </c>
      <c r="G565">
        <v>110</v>
      </c>
      <c r="H565">
        <v>58</v>
      </c>
      <c r="I565">
        <v>1893</v>
      </c>
      <c r="J565">
        <v>1</v>
      </c>
      <c r="K565">
        <v>5950</v>
      </c>
      <c r="L565">
        <v>4.3</v>
      </c>
      <c r="M565">
        <v>111</v>
      </c>
      <c r="N565">
        <v>21</v>
      </c>
      <c r="O565">
        <v>9</v>
      </c>
      <c r="P565">
        <v>1</v>
      </c>
      <c r="Q565">
        <v>4</v>
      </c>
      <c r="R565">
        <v>2018</v>
      </c>
      <c r="S565">
        <v>10</v>
      </c>
      <c r="T565">
        <v>8000</v>
      </c>
      <c r="U565">
        <v>53.9</v>
      </c>
      <c r="V565">
        <v>4.0999999999999996</v>
      </c>
      <c r="W565">
        <v>5.2817391300000001</v>
      </c>
      <c r="X565">
        <v>53.9</v>
      </c>
      <c r="Y565">
        <v>4.2</v>
      </c>
      <c r="Z565">
        <v>19.46846154</v>
      </c>
      <c r="AA565">
        <v>53.9</v>
      </c>
      <c r="AB565">
        <v>4.0999999999999996</v>
      </c>
      <c r="AC565">
        <v>19.071428569999998</v>
      </c>
      <c r="AD565">
        <v>110</v>
      </c>
      <c r="AE565">
        <f>Table1[[#This Row],[total_price]]/Table1[[#This Row],[qty]]</f>
        <v>110</v>
      </c>
      <c r="AF565">
        <f t="shared" si="8"/>
        <v>110</v>
      </c>
      <c r="AG565">
        <f>IF(ROW()=2, "", AVERAGE(D$2:D564))</f>
        <v>14.719360568383658</v>
      </c>
    </row>
    <row r="566" spans="1:33" x14ac:dyDescent="0.25">
      <c r="A566" t="s">
        <v>81</v>
      </c>
      <c r="B566" t="s">
        <v>33</v>
      </c>
      <c r="C566" s="1">
        <v>43105</v>
      </c>
      <c r="D566">
        <v>2</v>
      </c>
      <c r="E566">
        <v>220</v>
      </c>
      <c r="F566">
        <v>32.229999999999997</v>
      </c>
      <c r="G566">
        <v>110</v>
      </c>
      <c r="H566">
        <v>58</v>
      </c>
      <c r="I566">
        <v>1893</v>
      </c>
      <c r="J566">
        <v>1</v>
      </c>
      <c r="K566">
        <v>5950</v>
      </c>
      <c r="L566">
        <v>4.3</v>
      </c>
      <c r="M566">
        <v>102</v>
      </c>
      <c r="N566">
        <v>23</v>
      </c>
      <c r="O566">
        <v>8</v>
      </c>
      <c r="P566">
        <v>3</v>
      </c>
      <c r="Q566">
        <v>5</v>
      </c>
      <c r="R566">
        <v>2018</v>
      </c>
      <c r="S566">
        <v>4.0408163269999999</v>
      </c>
      <c r="T566">
        <v>8000</v>
      </c>
      <c r="U566">
        <v>53.415151520000002</v>
      </c>
      <c r="V566">
        <v>4.0999999999999996</v>
      </c>
      <c r="W566">
        <v>10.753035710000001</v>
      </c>
      <c r="X566">
        <v>53.70952381</v>
      </c>
      <c r="Y566">
        <v>4.2</v>
      </c>
      <c r="Z566">
        <v>13.510344829999999</v>
      </c>
      <c r="AA566">
        <v>53.057894740000002</v>
      </c>
      <c r="AB566">
        <v>4.0999999999999996</v>
      </c>
      <c r="AC566">
        <v>12.98</v>
      </c>
      <c r="AD566">
        <v>110</v>
      </c>
      <c r="AE566">
        <f>Table1[[#This Row],[total_price]]/Table1[[#This Row],[qty]]</f>
        <v>110</v>
      </c>
      <c r="AF566">
        <f t="shared" si="8"/>
        <v>110</v>
      </c>
      <c r="AG566">
        <f>IF(ROW()=2, "", AVERAGE(D$2:D565))</f>
        <v>14.702127659574469</v>
      </c>
    </row>
    <row r="567" spans="1:33" x14ac:dyDescent="0.25">
      <c r="A567" t="s">
        <v>81</v>
      </c>
      <c r="B567" t="s">
        <v>33</v>
      </c>
      <c r="C567" s="1">
        <v>43106</v>
      </c>
      <c r="D567">
        <v>6</v>
      </c>
      <c r="E567">
        <v>539.94000000000005</v>
      </c>
      <c r="F567">
        <v>48.178333330000001</v>
      </c>
      <c r="G567">
        <v>89.99</v>
      </c>
      <c r="H567">
        <v>58</v>
      </c>
      <c r="I567">
        <v>1893</v>
      </c>
      <c r="J567">
        <v>1</v>
      </c>
      <c r="K567">
        <v>5950</v>
      </c>
      <c r="L567">
        <v>4.3</v>
      </c>
      <c r="M567">
        <v>58</v>
      </c>
      <c r="N567">
        <v>21</v>
      </c>
      <c r="O567">
        <v>9</v>
      </c>
      <c r="P567">
        <v>0</v>
      </c>
      <c r="Q567">
        <v>6</v>
      </c>
      <c r="R567">
        <v>2018</v>
      </c>
      <c r="S567">
        <v>9.0612244900000007</v>
      </c>
      <c r="T567">
        <v>8000</v>
      </c>
      <c r="U567">
        <v>49.9</v>
      </c>
      <c r="V567">
        <v>4.0999999999999996</v>
      </c>
      <c r="W567">
        <v>19.89083333</v>
      </c>
      <c r="X567">
        <v>49.9</v>
      </c>
      <c r="Y567">
        <v>4.2</v>
      </c>
      <c r="Z567">
        <v>23.251666669999999</v>
      </c>
      <c r="AA567">
        <v>49.9</v>
      </c>
      <c r="AB567">
        <v>4.0999999999999996</v>
      </c>
      <c r="AC567">
        <v>22.878666670000001</v>
      </c>
      <c r="AD567">
        <v>110</v>
      </c>
      <c r="AE567">
        <f>Table1[[#This Row],[total_price]]/Table1[[#This Row],[qty]]</f>
        <v>89.990000000000009</v>
      </c>
      <c r="AF567">
        <f t="shared" si="8"/>
        <v>110</v>
      </c>
      <c r="AG567">
        <f>IF(ROW()=2, "", AVERAGE(D$2:D566))</f>
        <v>14.679646017699115</v>
      </c>
    </row>
    <row r="568" spans="1:33" x14ac:dyDescent="0.25">
      <c r="A568" t="s">
        <v>81</v>
      </c>
      <c r="B568" t="s">
        <v>33</v>
      </c>
      <c r="C568" s="1">
        <v>43107</v>
      </c>
      <c r="D568">
        <v>7</v>
      </c>
      <c r="E568">
        <v>699.93</v>
      </c>
      <c r="F568">
        <v>43.68</v>
      </c>
      <c r="G568">
        <v>99.99</v>
      </c>
      <c r="H568">
        <v>58</v>
      </c>
      <c r="I568">
        <v>1893</v>
      </c>
      <c r="J568">
        <v>1</v>
      </c>
      <c r="K568">
        <v>5950</v>
      </c>
      <c r="L568">
        <v>4.3</v>
      </c>
      <c r="M568">
        <v>54</v>
      </c>
      <c r="N568">
        <v>22</v>
      </c>
      <c r="O568">
        <v>9</v>
      </c>
      <c r="P568">
        <v>1</v>
      </c>
      <c r="Q568">
        <v>7</v>
      </c>
      <c r="R568">
        <v>2018</v>
      </c>
      <c r="S568">
        <v>7.5102040819999996</v>
      </c>
      <c r="T568">
        <v>8000</v>
      </c>
      <c r="U568">
        <v>49.91</v>
      </c>
      <c r="V568">
        <v>4.0999999999999996</v>
      </c>
      <c r="W568">
        <v>28.373333330000001</v>
      </c>
      <c r="X568">
        <v>49.9</v>
      </c>
      <c r="Y568">
        <v>4.2</v>
      </c>
      <c r="Z568">
        <v>33.281428570000003</v>
      </c>
      <c r="AA568">
        <v>49.9</v>
      </c>
      <c r="AB568">
        <v>4.0999999999999996</v>
      </c>
      <c r="AC568">
        <v>20.99</v>
      </c>
      <c r="AD568">
        <v>89.99</v>
      </c>
      <c r="AE568">
        <f>Table1[[#This Row],[total_price]]/Table1[[#This Row],[qty]]</f>
        <v>99.99</v>
      </c>
      <c r="AF568">
        <f t="shared" si="8"/>
        <v>89.990000000000009</v>
      </c>
      <c r="AG568">
        <f>IF(ROW()=2, "", AVERAGE(D$2:D567))</f>
        <v>14.664310954063604</v>
      </c>
    </row>
    <row r="569" spans="1:33" x14ac:dyDescent="0.25">
      <c r="A569" t="s">
        <v>81</v>
      </c>
      <c r="B569" t="s">
        <v>33</v>
      </c>
      <c r="C569" s="1">
        <v>43108</v>
      </c>
      <c r="D569">
        <v>6</v>
      </c>
      <c r="E569">
        <v>589.94000000000005</v>
      </c>
      <c r="F569">
        <v>34.083333330000002</v>
      </c>
      <c r="G569">
        <v>98.323333329999997</v>
      </c>
      <c r="H569">
        <v>58</v>
      </c>
      <c r="I569">
        <v>1893</v>
      </c>
      <c r="J569">
        <v>1</v>
      </c>
      <c r="K569">
        <v>5950</v>
      </c>
      <c r="L569">
        <v>4.3</v>
      </c>
      <c r="M569">
        <v>46</v>
      </c>
      <c r="N569">
        <v>23</v>
      </c>
      <c r="O569">
        <v>8</v>
      </c>
      <c r="P569">
        <v>1</v>
      </c>
      <c r="Q569">
        <v>8</v>
      </c>
      <c r="R569">
        <v>2018</v>
      </c>
      <c r="S569">
        <v>7.0204081629999999</v>
      </c>
      <c r="T569">
        <v>8000</v>
      </c>
      <c r="U569">
        <v>49.91</v>
      </c>
      <c r="V569">
        <v>4.0999999999999996</v>
      </c>
      <c r="W569">
        <v>20.32833333</v>
      </c>
      <c r="X569">
        <v>49.9</v>
      </c>
      <c r="Y569">
        <v>4.2</v>
      </c>
      <c r="Z569">
        <v>36.442</v>
      </c>
      <c r="AA569">
        <v>49.9</v>
      </c>
      <c r="AB569">
        <v>4.0999999999999996</v>
      </c>
      <c r="AC569">
        <v>32.32</v>
      </c>
      <c r="AD569">
        <v>99.99</v>
      </c>
      <c r="AE569">
        <f>Table1[[#This Row],[total_price]]/Table1[[#This Row],[qty]]</f>
        <v>98.323333333333338</v>
      </c>
      <c r="AF569">
        <f t="shared" si="8"/>
        <v>99.99</v>
      </c>
      <c r="AG569">
        <f>IF(ROW()=2, "", AVERAGE(D$2:D568))</f>
        <v>14.65079365079365</v>
      </c>
    </row>
    <row r="570" spans="1:33" x14ac:dyDescent="0.25">
      <c r="A570" t="s">
        <v>82</v>
      </c>
      <c r="B570" t="s">
        <v>40</v>
      </c>
      <c r="C570" s="1">
        <v>42737</v>
      </c>
      <c r="D570">
        <v>7</v>
      </c>
      <c r="E570">
        <v>599.92999999999995</v>
      </c>
      <c r="F570">
        <v>21.97142857</v>
      </c>
      <c r="G570">
        <v>85.704285709999994</v>
      </c>
      <c r="H570">
        <v>54</v>
      </c>
      <c r="I570">
        <v>1012</v>
      </c>
      <c r="J570">
        <v>1</v>
      </c>
      <c r="K570">
        <v>1200</v>
      </c>
      <c r="L570">
        <v>4.2</v>
      </c>
      <c r="M570">
        <v>7</v>
      </c>
      <c r="N570">
        <v>20</v>
      </c>
      <c r="O570">
        <v>8</v>
      </c>
      <c r="P570">
        <v>2</v>
      </c>
      <c r="Q570">
        <v>2</v>
      </c>
      <c r="R570">
        <v>2017</v>
      </c>
      <c r="S570">
        <v>8.7087087089999997</v>
      </c>
      <c r="T570">
        <v>15750</v>
      </c>
      <c r="U570">
        <v>85.704285709999994</v>
      </c>
      <c r="V570">
        <v>4.2</v>
      </c>
      <c r="W570">
        <v>21.97142857</v>
      </c>
      <c r="X570">
        <v>85.704285709999994</v>
      </c>
      <c r="Y570">
        <v>4.2</v>
      </c>
      <c r="Z570">
        <v>21.97142857</v>
      </c>
      <c r="AA570">
        <v>85.704285709999994</v>
      </c>
      <c r="AB570">
        <v>4.2</v>
      </c>
      <c r="AC570">
        <v>21.97142857</v>
      </c>
      <c r="AD570">
        <v>85.654285709999996</v>
      </c>
      <c r="AE570">
        <f>Table1[[#This Row],[total_price]]/Table1[[#This Row],[qty]]</f>
        <v>85.704285714285703</v>
      </c>
      <c r="AF570" t="str">
        <f t="shared" si="8"/>
        <v/>
      </c>
      <c r="AG570">
        <f>IF(ROW()=2, "", AVERAGE(D$2:D569))</f>
        <v>14.63556338028169</v>
      </c>
    </row>
    <row r="571" spans="1:33" x14ac:dyDescent="0.25">
      <c r="A571" t="s">
        <v>82</v>
      </c>
      <c r="B571" t="s">
        <v>40</v>
      </c>
      <c r="C571" s="1">
        <v>42738</v>
      </c>
      <c r="D571">
        <v>14</v>
      </c>
      <c r="E571">
        <v>1399.86</v>
      </c>
      <c r="F571">
        <v>16.644285709999998</v>
      </c>
      <c r="G571">
        <v>99.99</v>
      </c>
      <c r="H571">
        <v>54</v>
      </c>
      <c r="I571">
        <v>1012</v>
      </c>
      <c r="J571">
        <v>1</v>
      </c>
      <c r="K571">
        <v>1200</v>
      </c>
      <c r="L571">
        <v>4.2</v>
      </c>
      <c r="M571">
        <v>22</v>
      </c>
      <c r="N571">
        <v>23</v>
      </c>
      <c r="O571">
        <v>8</v>
      </c>
      <c r="P571">
        <v>1</v>
      </c>
      <c r="Q571">
        <v>3</v>
      </c>
      <c r="R571">
        <v>2017</v>
      </c>
      <c r="S571">
        <v>17.41741742</v>
      </c>
      <c r="T571">
        <v>15750</v>
      </c>
      <c r="U571">
        <v>99.99</v>
      </c>
      <c r="V571">
        <v>4.2</v>
      </c>
      <c r="W571">
        <v>16.644285709999998</v>
      </c>
      <c r="X571">
        <v>129.99</v>
      </c>
      <c r="Y571">
        <v>4.3</v>
      </c>
      <c r="Z571">
        <v>18.778749999999999</v>
      </c>
      <c r="AA571">
        <v>99.99</v>
      </c>
      <c r="AB571">
        <v>4.2</v>
      </c>
      <c r="AC571">
        <v>16.644285709999998</v>
      </c>
      <c r="AD571">
        <v>85.704285709999994</v>
      </c>
      <c r="AE571">
        <f>Table1[[#This Row],[total_price]]/Table1[[#This Row],[qty]]</f>
        <v>99.99</v>
      </c>
      <c r="AF571">
        <f t="shared" si="8"/>
        <v>85.704285714285703</v>
      </c>
      <c r="AG571">
        <f>IF(ROW()=2, "", AVERAGE(D$2:D570))</f>
        <v>14.622144112478031</v>
      </c>
    </row>
    <row r="572" spans="1:33" x14ac:dyDescent="0.25">
      <c r="A572" t="s">
        <v>82</v>
      </c>
      <c r="B572" t="s">
        <v>40</v>
      </c>
      <c r="C572" s="1">
        <v>42739</v>
      </c>
      <c r="D572">
        <v>17</v>
      </c>
      <c r="E572">
        <v>1699.83</v>
      </c>
      <c r="F572">
        <v>14.202352940000001</v>
      </c>
      <c r="G572">
        <v>99.99</v>
      </c>
      <c r="H572">
        <v>54</v>
      </c>
      <c r="I572">
        <v>1012</v>
      </c>
      <c r="J572">
        <v>1</v>
      </c>
      <c r="K572">
        <v>1200</v>
      </c>
      <c r="L572">
        <v>4.2</v>
      </c>
      <c r="M572">
        <v>33</v>
      </c>
      <c r="N572">
        <v>20</v>
      </c>
      <c r="O572">
        <v>10</v>
      </c>
      <c r="P572">
        <v>2</v>
      </c>
      <c r="Q572">
        <v>4</v>
      </c>
      <c r="R572">
        <v>2017</v>
      </c>
      <c r="S572">
        <v>24.324324319999999</v>
      </c>
      <c r="T572">
        <v>15750</v>
      </c>
      <c r="U572">
        <v>99.99</v>
      </c>
      <c r="V572">
        <v>4.2</v>
      </c>
      <c r="W572">
        <v>14.202352940000001</v>
      </c>
      <c r="X572">
        <v>129.99</v>
      </c>
      <c r="Y572">
        <v>4.3</v>
      </c>
      <c r="Z572">
        <v>17.396428570000001</v>
      </c>
      <c r="AA572">
        <v>99.99</v>
      </c>
      <c r="AB572">
        <v>4.2</v>
      </c>
      <c r="AC572">
        <v>14.202352940000001</v>
      </c>
      <c r="AD572">
        <v>99.99</v>
      </c>
      <c r="AE572">
        <f>Table1[[#This Row],[total_price]]/Table1[[#This Row],[qty]]</f>
        <v>99.99</v>
      </c>
      <c r="AF572">
        <f t="shared" si="8"/>
        <v>99.99</v>
      </c>
      <c r="AG572">
        <f>IF(ROW()=2, "", AVERAGE(D$2:D571))</f>
        <v>14.621052631578948</v>
      </c>
    </row>
    <row r="573" spans="1:33" x14ac:dyDescent="0.25">
      <c r="A573" t="s">
        <v>82</v>
      </c>
      <c r="B573" t="s">
        <v>40</v>
      </c>
      <c r="C573" s="1">
        <v>42740</v>
      </c>
      <c r="D573">
        <v>22</v>
      </c>
      <c r="E573">
        <v>2199.7800000000002</v>
      </c>
      <c r="F573">
        <v>15.02090909</v>
      </c>
      <c r="G573">
        <v>99.99</v>
      </c>
      <c r="H573">
        <v>54</v>
      </c>
      <c r="I573">
        <v>1012</v>
      </c>
      <c r="J573">
        <v>1</v>
      </c>
      <c r="K573">
        <v>1200</v>
      </c>
      <c r="L573">
        <v>4.2</v>
      </c>
      <c r="M573">
        <v>58</v>
      </c>
      <c r="N573">
        <v>23</v>
      </c>
      <c r="O573">
        <v>8</v>
      </c>
      <c r="P573">
        <v>1</v>
      </c>
      <c r="Q573">
        <v>5</v>
      </c>
      <c r="R573">
        <v>2017</v>
      </c>
      <c r="S573">
        <v>19.819819819999999</v>
      </c>
      <c r="T573">
        <v>15750</v>
      </c>
      <c r="U573">
        <v>99.99</v>
      </c>
      <c r="V573">
        <v>4.2</v>
      </c>
      <c r="W573">
        <v>15.02090909</v>
      </c>
      <c r="X573">
        <v>129.99</v>
      </c>
      <c r="Y573">
        <v>4.3</v>
      </c>
      <c r="Z573">
        <v>18.272777779999998</v>
      </c>
      <c r="AA573">
        <v>99.99</v>
      </c>
      <c r="AB573">
        <v>4.2</v>
      </c>
      <c r="AC573">
        <v>15.02090909</v>
      </c>
      <c r="AD573">
        <v>99.99</v>
      </c>
      <c r="AE573">
        <f>Table1[[#This Row],[total_price]]/Table1[[#This Row],[qty]]</f>
        <v>99.990000000000009</v>
      </c>
      <c r="AF573">
        <f t="shared" si="8"/>
        <v>99.99</v>
      </c>
      <c r="AG573">
        <f>IF(ROW()=2, "", AVERAGE(D$2:D572))</f>
        <v>14.625218914185639</v>
      </c>
    </row>
    <row r="574" spans="1:33" x14ac:dyDescent="0.25">
      <c r="A574" t="s">
        <v>82</v>
      </c>
      <c r="B574" t="s">
        <v>40</v>
      </c>
      <c r="C574" s="1">
        <v>42741</v>
      </c>
      <c r="D574">
        <v>14</v>
      </c>
      <c r="E574">
        <v>1399.86</v>
      </c>
      <c r="F574">
        <v>13.826428569999999</v>
      </c>
      <c r="G574">
        <v>99.99</v>
      </c>
      <c r="H574">
        <v>54</v>
      </c>
      <c r="I574">
        <v>1012</v>
      </c>
      <c r="J574">
        <v>1</v>
      </c>
      <c r="K574">
        <v>1200</v>
      </c>
      <c r="L574">
        <v>4.2</v>
      </c>
      <c r="M574">
        <v>42</v>
      </c>
      <c r="N574">
        <v>22</v>
      </c>
      <c r="O574">
        <v>8</v>
      </c>
      <c r="P574">
        <v>1</v>
      </c>
      <c r="Q574">
        <v>6</v>
      </c>
      <c r="R574">
        <v>2017</v>
      </c>
      <c r="S574">
        <v>12.612612609999999</v>
      </c>
      <c r="T574">
        <v>15750</v>
      </c>
      <c r="U574">
        <v>99.99</v>
      </c>
      <c r="V574">
        <v>4.2</v>
      </c>
      <c r="W574">
        <v>13.826428569999999</v>
      </c>
      <c r="X574">
        <v>129.99</v>
      </c>
      <c r="Y574">
        <v>4.3</v>
      </c>
      <c r="Z574">
        <v>17.061176469999999</v>
      </c>
      <c r="AA574">
        <v>99.99</v>
      </c>
      <c r="AB574">
        <v>4.2</v>
      </c>
      <c r="AC574">
        <v>13.826428569999999</v>
      </c>
      <c r="AD574">
        <v>99.99</v>
      </c>
      <c r="AE574">
        <f>Table1[[#This Row],[total_price]]/Table1[[#This Row],[qty]]</f>
        <v>99.99</v>
      </c>
      <c r="AF574">
        <f t="shared" si="8"/>
        <v>99.990000000000009</v>
      </c>
      <c r="AG574">
        <f>IF(ROW()=2, "", AVERAGE(D$2:D573))</f>
        <v>14.638111888111888</v>
      </c>
    </row>
    <row r="575" spans="1:33" x14ac:dyDescent="0.25">
      <c r="A575" t="s">
        <v>82</v>
      </c>
      <c r="B575" t="s">
        <v>40</v>
      </c>
      <c r="C575" s="1">
        <v>42742</v>
      </c>
      <c r="D575">
        <v>11</v>
      </c>
      <c r="E575">
        <v>1099.8900000000001</v>
      </c>
      <c r="F575">
        <v>16.529090910000001</v>
      </c>
      <c r="G575">
        <v>99.99</v>
      </c>
      <c r="H575">
        <v>54</v>
      </c>
      <c r="I575">
        <v>1012</v>
      </c>
      <c r="J575">
        <v>1</v>
      </c>
      <c r="K575">
        <v>1200</v>
      </c>
      <c r="L575">
        <v>4.2</v>
      </c>
      <c r="M575">
        <v>42</v>
      </c>
      <c r="N575">
        <v>21</v>
      </c>
      <c r="O575">
        <v>10</v>
      </c>
      <c r="P575">
        <v>1</v>
      </c>
      <c r="Q575">
        <v>7</v>
      </c>
      <c r="R575">
        <v>2017</v>
      </c>
      <c r="S575">
        <v>9.9099099099999997</v>
      </c>
      <c r="T575">
        <v>15750</v>
      </c>
      <c r="U575">
        <v>99.99</v>
      </c>
      <c r="V575">
        <v>4.2</v>
      </c>
      <c r="W575">
        <v>16.529090910000001</v>
      </c>
      <c r="X575">
        <v>129.99</v>
      </c>
      <c r="Y575">
        <v>4.3</v>
      </c>
      <c r="Z575">
        <v>18.715624999999999</v>
      </c>
      <c r="AA575">
        <v>99.99</v>
      </c>
      <c r="AB575">
        <v>4.2</v>
      </c>
      <c r="AC575">
        <v>16.529090910000001</v>
      </c>
      <c r="AD575">
        <v>99.99</v>
      </c>
      <c r="AE575">
        <f>Table1[[#This Row],[total_price]]/Table1[[#This Row],[qty]]</f>
        <v>99.990000000000009</v>
      </c>
      <c r="AF575">
        <f t="shared" si="8"/>
        <v>99.99</v>
      </c>
      <c r="AG575">
        <f>IF(ROW()=2, "", AVERAGE(D$2:D574))</f>
        <v>14.636998254799302</v>
      </c>
    </row>
    <row r="576" spans="1:33" x14ac:dyDescent="0.25">
      <c r="A576" t="s">
        <v>82</v>
      </c>
      <c r="B576" t="s">
        <v>40</v>
      </c>
      <c r="C576" s="1">
        <v>42743</v>
      </c>
      <c r="D576">
        <v>14</v>
      </c>
      <c r="E576">
        <v>1399.86</v>
      </c>
      <c r="F576">
        <v>18.975000000000001</v>
      </c>
      <c r="G576">
        <v>99.99</v>
      </c>
      <c r="H576">
        <v>54</v>
      </c>
      <c r="I576">
        <v>1012</v>
      </c>
      <c r="J576">
        <v>1</v>
      </c>
      <c r="K576">
        <v>1200</v>
      </c>
      <c r="L576">
        <v>4.2</v>
      </c>
      <c r="M576">
        <v>39</v>
      </c>
      <c r="N576">
        <v>23</v>
      </c>
      <c r="O576">
        <v>8</v>
      </c>
      <c r="P576">
        <v>1</v>
      </c>
      <c r="Q576">
        <v>8</v>
      </c>
      <c r="R576">
        <v>2017</v>
      </c>
      <c r="S576">
        <v>12.612612609999999</v>
      </c>
      <c r="T576">
        <v>15750</v>
      </c>
      <c r="U576">
        <v>99.99</v>
      </c>
      <c r="V576">
        <v>4.2</v>
      </c>
      <c r="W576">
        <v>18.975000000000001</v>
      </c>
      <c r="X576">
        <v>116.92749999999999</v>
      </c>
      <c r="Y576">
        <v>4.3</v>
      </c>
      <c r="Z576">
        <v>19.021249999999998</v>
      </c>
      <c r="AA576">
        <v>99.99</v>
      </c>
      <c r="AB576">
        <v>4.2</v>
      </c>
      <c r="AC576">
        <v>18.975000000000001</v>
      </c>
      <c r="AD576">
        <v>99.99</v>
      </c>
      <c r="AE576">
        <f>Table1[[#This Row],[total_price]]/Table1[[#This Row],[qty]]</f>
        <v>99.99</v>
      </c>
      <c r="AF576">
        <f t="shared" si="8"/>
        <v>99.990000000000009</v>
      </c>
      <c r="AG576">
        <f>IF(ROW()=2, "", AVERAGE(D$2:D575))</f>
        <v>14.630662020905923</v>
      </c>
    </row>
    <row r="577" spans="1:33" x14ac:dyDescent="0.25">
      <c r="A577" t="s">
        <v>82</v>
      </c>
      <c r="B577" t="s">
        <v>40</v>
      </c>
      <c r="C577" s="1">
        <v>42744</v>
      </c>
      <c r="D577">
        <v>3</v>
      </c>
      <c r="E577">
        <v>299.97000000000003</v>
      </c>
      <c r="F577">
        <v>15.93333333</v>
      </c>
      <c r="G577">
        <v>99.99</v>
      </c>
      <c r="H577">
        <v>54</v>
      </c>
      <c r="I577">
        <v>1012</v>
      </c>
      <c r="J577">
        <v>1</v>
      </c>
      <c r="K577">
        <v>1200</v>
      </c>
      <c r="L577">
        <v>4.2</v>
      </c>
      <c r="M577">
        <v>10</v>
      </c>
      <c r="N577">
        <v>21</v>
      </c>
      <c r="O577">
        <v>9</v>
      </c>
      <c r="P577">
        <v>1</v>
      </c>
      <c r="Q577">
        <v>9</v>
      </c>
      <c r="R577">
        <v>2017</v>
      </c>
      <c r="S577">
        <v>2.7027027029999999</v>
      </c>
      <c r="T577">
        <v>15750</v>
      </c>
      <c r="U577">
        <v>99.99</v>
      </c>
      <c r="V577">
        <v>4.2</v>
      </c>
      <c r="W577">
        <v>15.93333333</v>
      </c>
      <c r="X577">
        <v>99.99</v>
      </c>
      <c r="Y577">
        <v>4.2</v>
      </c>
      <c r="Z577">
        <v>15.93333333</v>
      </c>
      <c r="AA577">
        <v>29.5</v>
      </c>
      <c r="AB577">
        <v>4.4000000000000004</v>
      </c>
      <c r="AC577">
        <v>11.73</v>
      </c>
      <c r="AD577">
        <v>99.99</v>
      </c>
      <c r="AE577">
        <f>Table1[[#This Row],[total_price]]/Table1[[#This Row],[qty]]</f>
        <v>99.990000000000009</v>
      </c>
      <c r="AF577">
        <f t="shared" si="8"/>
        <v>99.99</v>
      </c>
      <c r="AG577">
        <f>IF(ROW()=2, "", AVERAGE(D$2:D576))</f>
        <v>14.629565217391304</v>
      </c>
    </row>
    <row r="578" spans="1:33" x14ac:dyDescent="0.25">
      <c r="A578" t="s">
        <v>82</v>
      </c>
      <c r="B578" t="s">
        <v>40</v>
      </c>
      <c r="C578" s="1">
        <v>42745</v>
      </c>
      <c r="D578">
        <v>2</v>
      </c>
      <c r="E578">
        <v>199.98</v>
      </c>
      <c r="F578">
        <v>16.95</v>
      </c>
      <c r="G578">
        <v>99.99</v>
      </c>
      <c r="H578">
        <v>54</v>
      </c>
      <c r="I578">
        <v>1012</v>
      </c>
      <c r="J578">
        <v>1</v>
      </c>
      <c r="K578">
        <v>1200</v>
      </c>
      <c r="L578">
        <v>4.2</v>
      </c>
      <c r="M578">
        <v>33</v>
      </c>
      <c r="N578">
        <v>22</v>
      </c>
      <c r="O578">
        <v>9</v>
      </c>
      <c r="P578">
        <v>2</v>
      </c>
      <c r="Q578">
        <v>10</v>
      </c>
      <c r="R578">
        <v>2017</v>
      </c>
      <c r="S578">
        <v>1.801801802</v>
      </c>
      <c r="T578">
        <v>15750</v>
      </c>
      <c r="U578">
        <v>99.99</v>
      </c>
      <c r="V578">
        <v>4.2</v>
      </c>
      <c r="W578">
        <v>16.95</v>
      </c>
      <c r="X578">
        <v>119.99</v>
      </c>
      <c r="Y578">
        <v>4.3</v>
      </c>
      <c r="Z578">
        <v>19.997</v>
      </c>
      <c r="AA578">
        <v>99.99</v>
      </c>
      <c r="AB578">
        <v>4.2</v>
      </c>
      <c r="AC578">
        <v>16.95</v>
      </c>
      <c r="AD578">
        <v>99.99</v>
      </c>
      <c r="AE578">
        <f>Table1[[#This Row],[total_price]]/Table1[[#This Row],[qty]]</f>
        <v>99.99</v>
      </c>
      <c r="AF578">
        <f t="shared" ref="AF578:AF641" si="9">IF(A578=A577,AE577,"")</f>
        <v>99.990000000000009</v>
      </c>
      <c r="AG578">
        <f>IF(ROW()=2, "", AVERAGE(D$2:D577))</f>
        <v>14.609375</v>
      </c>
    </row>
    <row r="579" spans="1:33" x14ac:dyDescent="0.25">
      <c r="A579" t="s">
        <v>82</v>
      </c>
      <c r="B579" t="s">
        <v>40</v>
      </c>
      <c r="C579" s="1">
        <v>42746</v>
      </c>
      <c r="D579">
        <v>4</v>
      </c>
      <c r="E579">
        <v>399.96</v>
      </c>
      <c r="F579">
        <v>16.1875</v>
      </c>
      <c r="G579">
        <v>99.99</v>
      </c>
      <c r="H579">
        <v>54</v>
      </c>
      <c r="I579">
        <v>1012</v>
      </c>
      <c r="J579">
        <v>1</v>
      </c>
      <c r="K579">
        <v>1200</v>
      </c>
      <c r="L579">
        <v>4.2</v>
      </c>
      <c r="M579">
        <v>42</v>
      </c>
      <c r="N579">
        <v>22</v>
      </c>
      <c r="O579">
        <v>8</v>
      </c>
      <c r="P579">
        <v>4</v>
      </c>
      <c r="Q579">
        <v>11</v>
      </c>
      <c r="R579">
        <v>2017</v>
      </c>
      <c r="S579">
        <v>3.6036036039999999</v>
      </c>
      <c r="T579">
        <v>15750</v>
      </c>
      <c r="U579">
        <v>99.99</v>
      </c>
      <c r="V579">
        <v>4.2</v>
      </c>
      <c r="W579">
        <v>16.1875</v>
      </c>
      <c r="X579">
        <v>129.99</v>
      </c>
      <c r="Y579">
        <v>4.3</v>
      </c>
      <c r="Z579">
        <v>22.674444439999998</v>
      </c>
      <c r="AA579">
        <v>99.99</v>
      </c>
      <c r="AB579">
        <v>4.2</v>
      </c>
      <c r="AC579">
        <v>16.1875</v>
      </c>
      <c r="AD579">
        <v>99.99</v>
      </c>
      <c r="AE579">
        <f>Table1[[#This Row],[total_price]]/Table1[[#This Row],[qty]]</f>
        <v>99.99</v>
      </c>
      <c r="AF579">
        <f t="shared" si="9"/>
        <v>99.99</v>
      </c>
      <c r="AG579">
        <f>IF(ROW()=2, "", AVERAGE(D$2:D578))</f>
        <v>14.587521663778164</v>
      </c>
    </row>
    <row r="580" spans="1:33" x14ac:dyDescent="0.25">
      <c r="A580" t="s">
        <v>82</v>
      </c>
      <c r="B580" t="s">
        <v>40</v>
      </c>
      <c r="C580" s="1">
        <v>42747</v>
      </c>
      <c r="D580">
        <v>3</v>
      </c>
      <c r="E580">
        <v>299.97000000000003</v>
      </c>
      <c r="F580">
        <v>15.266666669999999</v>
      </c>
      <c r="G580">
        <v>99.99</v>
      </c>
      <c r="H580">
        <v>54</v>
      </c>
      <c r="I580">
        <v>1012</v>
      </c>
      <c r="J580">
        <v>1</v>
      </c>
      <c r="K580">
        <v>1200</v>
      </c>
      <c r="L580">
        <v>4.2</v>
      </c>
      <c r="M580">
        <v>38</v>
      </c>
      <c r="N580">
        <v>21</v>
      </c>
      <c r="O580">
        <v>10</v>
      </c>
      <c r="P580">
        <v>1</v>
      </c>
      <c r="Q580">
        <v>12</v>
      </c>
      <c r="R580">
        <v>2017</v>
      </c>
      <c r="S580">
        <v>2.7027027029999999</v>
      </c>
      <c r="T580">
        <v>15750</v>
      </c>
      <c r="U580">
        <v>99.99</v>
      </c>
      <c r="V580">
        <v>4.2</v>
      </c>
      <c r="W580">
        <v>15.266666669999999</v>
      </c>
      <c r="X580">
        <v>129.99</v>
      </c>
      <c r="Y580">
        <v>4.3</v>
      </c>
      <c r="Z580">
        <v>25.59</v>
      </c>
      <c r="AA580">
        <v>99.99</v>
      </c>
      <c r="AB580">
        <v>4.2</v>
      </c>
      <c r="AC580">
        <v>15.266666669999999</v>
      </c>
      <c r="AD580">
        <v>99.99</v>
      </c>
      <c r="AE580">
        <f>Table1[[#This Row],[total_price]]/Table1[[#This Row],[qty]]</f>
        <v>99.990000000000009</v>
      </c>
      <c r="AF580">
        <f t="shared" si="9"/>
        <v>99.99</v>
      </c>
      <c r="AG580">
        <f>IF(ROW()=2, "", AVERAGE(D$2:D579))</f>
        <v>14.569204152249135</v>
      </c>
    </row>
    <row r="581" spans="1:33" x14ac:dyDescent="0.25">
      <c r="A581" t="s">
        <v>82</v>
      </c>
      <c r="B581" t="s">
        <v>40</v>
      </c>
      <c r="C581" s="1">
        <v>43101</v>
      </c>
      <c r="D581">
        <v>3</v>
      </c>
      <c r="E581">
        <v>299.97000000000003</v>
      </c>
      <c r="F581">
        <v>16.54</v>
      </c>
      <c r="G581">
        <v>99.99</v>
      </c>
      <c r="H581">
        <v>54</v>
      </c>
      <c r="I581">
        <v>1012</v>
      </c>
      <c r="J581">
        <v>1</v>
      </c>
      <c r="K581">
        <v>1200</v>
      </c>
      <c r="L581">
        <v>4.2</v>
      </c>
      <c r="M581">
        <v>102</v>
      </c>
      <c r="N581">
        <v>23</v>
      </c>
      <c r="O581">
        <v>8</v>
      </c>
      <c r="P581">
        <v>2</v>
      </c>
      <c r="Q581">
        <v>1</v>
      </c>
      <c r="R581">
        <v>2018</v>
      </c>
      <c r="S581">
        <v>33.333333330000002</v>
      </c>
      <c r="T581">
        <v>15750</v>
      </c>
      <c r="U581">
        <v>99.99</v>
      </c>
      <c r="V581">
        <v>4.2</v>
      </c>
      <c r="W581">
        <v>16.54</v>
      </c>
      <c r="X581">
        <v>129.99</v>
      </c>
      <c r="Y581">
        <v>4.3</v>
      </c>
      <c r="Z581">
        <v>17.41</v>
      </c>
      <c r="AA581">
        <v>29.5</v>
      </c>
      <c r="AB581">
        <v>4.4000000000000004</v>
      </c>
      <c r="AC581">
        <v>16.53263158</v>
      </c>
      <c r="AD581">
        <v>99.99</v>
      </c>
      <c r="AE581">
        <f>Table1[[#This Row],[total_price]]/Table1[[#This Row],[qty]]</f>
        <v>99.990000000000009</v>
      </c>
      <c r="AF581">
        <f t="shared" si="9"/>
        <v>99.990000000000009</v>
      </c>
      <c r="AG581">
        <f>IF(ROW()=2, "", AVERAGE(D$2:D580))</f>
        <v>14.549222797927461</v>
      </c>
    </row>
    <row r="582" spans="1:33" x14ac:dyDescent="0.25">
      <c r="A582" t="s">
        <v>82</v>
      </c>
      <c r="B582" t="s">
        <v>40</v>
      </c>
      <c r="C582" s="1">
        <v>43102</v>
      </c>
      <c r="D582">
        <v>1</v>
      </c>
      <c r="E582">
        <v>99.99</v>
      </c>
      <c r="F582">
        <v>13.72</v>
      </c>
      <c r="G582">
        <v>99.99</v>
      </c>
      <c r="H582">
        <v>54</v>
      </c>
      <c r="I582">
        <v>1012</v>
      </c>
      <c r="J582">
        <v>1</v>
      </c>
      <c r="K582">
        <v>1200</v>
      </c>
      <c r="L582">
        <v>4.2</v>
      </c>
      <c r="M582">
        <v>20</v>
      </c>
      <c r="N582">
        <v>20</v>
      </c>
      <c r="O582">
        <v>8</v>
      </c>
      <c r="P582">
        <v>2</v>
      </c>
      <c r="Q582">
        <v>2</v>
      </c>
      <c r="R582">
        <v>2018</v>
      </c>
      <c r="S582">
        <v>8.7087087089999997</v>
      </c>
      <c r="T582">
        <v>15750</v>
      </c>
      <c r="U582">
        <v>99.99</v>
      </c>
      <c r="V582">
        <v>4.2</v>
      </c>
      <c r="W582">
        <v>13.72</v>
      </c>
      <c r="X582">
        <v>129.99</v>
      </c>
      <c r="Y582">
        <v>4.3</v>
      </c>
      <c r="Z582">
        <v>16.71</v>
      </c>
      <c r="AA582">
        <v>99.99</v>
      </c>
      <c r="AB582">
        <v>4.2</v>
      </c>
      <c r="AC582">
        <v>13.72</v>
      </c>
      <c r="AD582">
        <v>99.99</v>
      </c>
      <c r="AE582">
        <f>Table1[[#This Row],[total_price]]/Table1[[#This Row],[qty]]</f>
        <v>99.99</v>
      </c>
      <c r="AF582">
        <f t="shared" si="9"/>
        <v>99.990000000000009</v>
      </c>
      <c r="AG582">
        <f>IF(ROW()=2, "", AVERAGE(D$2:D581))</f>
        <v>14.529310344827586</v>
      </c>
    </row>
    <row r="583" spans="1:33" x14ac:dyDescent="0.25">
      <c r="A583" t="s">
        <v>82</v>
      </c>
      <c r="B583" t="s">
        <v>40</v>
      </c>
      <c r="C583" s="1">
        <v>43103</v>
      </c>
      <c r="D583">
        <v>2</v>
      </c>
      <c r="E583">
        <v>199.98</v>
      </c>
      <c r="F583">
        <v>20.78</v>
      </c>
      <c r="G583">
        <v>99.99</v>
      </c>
      <c r="H583">
        <v>54</v>
      </c>
      <c r="I583">
        <v>1012</v>
      </c>
      <c r="J583">
        <v>1</v>
      </c>
      <c r="K583">
        <v>1200</v>
      </c>
      <c r="L583">
        <v>4.2</v>
      </c>
      <c r="M583">
        <v>45</v>
      </c>
      <c r="N583">
        <v>22</v>
      </c>
      <c r="O583">
        <v>9</v>
      </c>
      <c r="P583">
        <v>1</v>
      </c>
      <c r="Q583">
        <v>3</v>
      </c>
      <c r="R583">
        <v>2018</v>
      </c>
      <c r="S583">
        <v>17.41741742</v>
      </c>
      <c r="T583">
        <v>15750</v>
      </c>
      <c r="U583">
        <v>99.99</v>
      </c>
      <c r="V583">
        <v>4.2</v>
      </c>
      <c r="W583">
        <v>20.78</v>
      </c>
      <c r="X583">
        <v>129.99</v>
      </c>
      <c r="Y583">
        <v>4.3</v>
      </c>
      <c r="Z583">
        <v>18.489999999999998</v>
      </c>
      <c r="AA583">
        <v>35</v>
      </c>
      <c r="AB583">
        <v>4.4000000000000004</v>
      </c>
      <c r="AC583">
        <v>16.25615385</v>
      </c>
      <c r="AD583">
        <v>99.99</v>
      </c>
      <c r="AE583">
        <f>Table1[[#This Row],[total_price]]/Table1[[#This Row],[qty]]</f>
        <v>99.99</v>
      </c>
      <c r="AF583">
        <f t="shared" si="9"/>
        <v>99.99</v>
      </c>
      <c r="AG583">
        <f>IF(ROW()=2, "", AVERAGE(D$2:D582))</f>
        <v>14.506024096385541</v>
      </c>
    </row>
    <row r="584" spans="1:33" x14ac:dyDescent="0.25">
      <c r="A584" t="s">
        <v>82</v>
      </c>
      <c r="B584" t="s">
        <v>40</v>
      </c>
      <c r="C584" s="1">
        <v>43104</v>
      </c>
      <c r="D584">
        <v>3</v>
      </c>
      <c r="E584">
        <v>269.58999999999997</v>
      </c>
      <c r="F584">
        <v>19.876666669999999</v>
      </c>
      <c r="G584">
        <v>89.863333330000003</v>
      </c>
      <c r="H584">
        <v>54</v>
      </c>
      <c r="I584">
        <v>1012</v>
      </c>
      <c r="J584">
        <v>1</v>
      </c>
      <c r="K584">
        <v>1200</v>
      </c>
      <c r="L584">
        <v>4.2</v>
      </c>
      <c r="M584">
        <v>18</v>
      </c>
      <c r="N584">
        <v>21</v>
      </c>
      <c r="O584">
        <v>9</v>
      </c>
      <c r="P584">
        <v>1</v>
      </c>
      <c r="Q584">
        <v>4</v>
      </c>
      <c r="R584">
        <v>2018</v>
      </c>
      <c r="S584">
        <v>24.324324319999999</v>
      </c>
      <c r="T584">
        <v>15750</v>
      </c>
      <c r="U584">
        <v>89.863333330000003</v>
      </c>
      <c r="V584">
        <v>4.2</v>
      </c>
      <c r="W584">
        <v>19.876666669999999</v>
      </c>
      <c r="X584">
        <v>129.99</v>
      </c>
      <c r="Y584">
        <v>4.3</v>
      </c>
      <c r="Z584">
        <v>23.49</v>
      </c>
      <c r="AA584">
        <v>35</v>
      </c>
      <c r="AB584">
        <v>4.4000000000000004</v>
      </c>
      <c r="AC584">
        <v>14.845000000000001</v>
      </c>
      <c r="AD584">
        <v>99.99</v>
      </c>
      <c r="AE584">
        <f>Table1[[#This Row],[total_price]]/Table1[[#This Row],[qty]]</f>
        <v>89.86333333333333</v>
      </c>
      <c r="AF584">
        <f t="shared" si="9"/>
        <v>99.99</v>
      </c>
      <c r="AG584">
        <f>IF(ROW()=2, "", AVERAGE(D$2:D583))</f>
        <v>14.484536082474227</v>
      </c>
    </row>
    <row r="585" spans="1:33" x14ac:dyDescent="0.25">
      <c r="A585" t="s">
        <v>83</v>
      </c>
      <c r="B585" t="s">
        <v>48</v>
      </c>
      <c r="C585" s="1">
        <v>42737</v>
      </c>
      <c r="D585">
        <v>3</v>
      </c>
      <c r="E585">
        <v>479.97</v>
      </c>
      <c r="F585">
        <v>33.4</v>
      </c>
      <c r="G585">
        <v>159.99</v>
      </c>
      <c r="H585">
        <v>59</v>
      </c>
      <c r="I585">
        <v>1893</v>
      </c>
      <c r="J585">
        <v>1</v>
      </c>
      <c r="K585">
        <v>6550</v>
      </c>
      <c r="L585">
        <v>4.2</v>
      </c>
      <c r="M585">
        <v>3</v>
      </c>
      <c r="N585">
        <v>20</v>
      </c>
      <c r="O585">
        <v>8</v>
      </c>
      <c r="P585">
        <v>2</v>
      </c>
      <c r="Q585">
        <v>2</v>
      </c>
      <c r="R585">
        <v>2017</v>
      </c>
      <c r="S585">
        <v>7.889030612</v>
      </c>
      <c r="T585">
        <v>8000</v>
      </c>
      <c r="U585">
        <v>159.99</v>
      </c>
      <c r="V585">
        <v>4.2</v>
      </c>
      <c r="W585">
        <v>33.4</v>
      </c>
      <c r="X585">
        <v>159.99</v>
      </c>
      <c r="Y585">
        <v>4.2</v>
      </c>
      <c r="Z585">
        <v>33.4</v>
      </c>
      <c r="AA585">
        <v>159.99</v>
      </c>
      <c r="AB585">
        <v>4.2</v>
      </c>
      <c r="AC585">
        <v>33.4</v>
      </c>
      <c r="AD585">
        <v>159.94</v>
      </c>
      <c r="AE585">
        <f>Table1[[#This Row],[total_price]]/Table1[[#This Row],[qty]]</f>
        <v>159.99</v>
      </c>
      <c r="AF585" t="str">
        <f t="shared" si="9"/>
        <v/>
      </c>
      <c r="AG585">
        <f>IF(ROW()=2, "", AVERAGE(D$2:D584))</f>
        <v>14.464837049742711</v>
      </c>
    </row>
    <row r="586" spans="1:33" x14ac:dyDescent="0.25">
      <c r="A586" t="s">
        <v>83</v>
      </c>
      <c r="B586" t="s">
        <v>48</v>
      </c>
      <c r="C586" s="1">
        <v>42738</v>
      </c>
      <c r="D586">
        <v>3</v>
      </c>
      <c r="E586">
        <v>479.97</v>
      </c>
      <c r="F586">
        <v>33.4</v>
      </c>
      <c r="G586">
        <v>159.99</v>
      </c>
      <c r="H586">
        <v>59</v>
      </c>
      <c r="I586">
        <v>1893</v>
      </c>
      <c r="J586">
        <v>1</v>
      </c>
      <c r="K586">
        <v>6550</v>
      </c>
      <c r="L586">
        <v>4.2</v>
      </c>
      <c r="M586">
        <v>3</v>
      </c>
      <c r="N586">
        <v>23</v>
      </c>
      <c r="O586">
        <v>8</v>
      </c>
      <c r="P586">
        <v>1</v>
      </c>
      <c r="Q586">
        <v>3</v>
      </c>
      <c r="R586">
        <v>2017</v>
      </c>
      <c r="S586">
        <v>10.542091839999999</v>
      </c>
      <c r="T586">
        <v>8000</v>
      </c>
      <c r="U586">
        <v>159.99</v>
      </c>
      <c r="V586">
        <v>4.2</v>
      </c>
      <c r="W586">
        <v>33.4</v>
      </c>
      <c r="X586">
        <v>159.99</v>
      </c>
      <c r="Y586">
        <v>4.2</v>
      </c>
      <c r="Z586">
        <v>33.4</v>
      </c>
      <c r="AA586">
        <v>159.99</v>
      </c>
      <c r="AB586">
        <v>4.2</v>
      </c>
      <c r="AC586">
        <v>33.4</v>
      </c>
      <c r="AD586">
        <v>159.99</v>
      </c>
      <c r="AE586">
        <f>Table1[[#This Row],[total_price]]/Table1[[#This Row],[qty]]</f>
        <v>159.99</v>
      </c>
      <c r="AF586">
        <f t="shared" si="9"/>
        <v>159.99</v>
      </c>
      <c r="AG586">
        <f>IF(ROW()=2, "", AVERAGE(D$2:D585))</f>
        <v>14.445205479452055</v>
      </c>
    </row>
    <row r="587" spans="1:33" x14ac:dyDescent="0.25">
      <c r="A587" t="s">
        <v>83</v>
      </c>
      <c r="B587" t="s">
        <v>48</v>
      </c>
      <c r="C587" s="1">
        <v>42739</v>
      </c>
      <c r="D587">
        <v>5</v>
      </c>
      <c r="E587">
        <v>699.95</v>
      </c>
      <c r="F587">
        <v>35.122</v>
      </c>
      <c r="G587">
        <v>139.99</v>
      </c>
      <c r="H587">
        <v>59</v>
      </c>
      <c r="I587">
        <v>1893</v>
      </c>
      <c r="J587">
        <v>1</v>
      </c>
      <c r="K587">
        <v>6550</v>
      </c>
      <c r="L587">
        <v>4.2</v>
      </c>
      <c r="M587">
        <v>5</v>
      </c>
      <c r="N587">
        <v>20</v>
      </c>
      <c r="O587">
        <v>10</v>
      </c>
      <c r="P587">
        <v>2</v>
      </c>
      <c r="Q587">
        <v>4</v>
      </c>
      <c r="R587">
        <v>2017</v>
      </c>
      <c r="S587">
        <v>14.0327381</v>
      </c>
      <c r="T587">
        <v>8000</v>
      </c>
      <c r="U587">
        <v>139.99</v>
      </c>
      <c r="V587">
        <v>4.2</v>
      </c>
      <c r="W587">
        <v>35.122</v>
      </c>
      <c r="X587">
        <v>139.99</v>
      </c>
      <c r="Y587">
        <v>4.2</v>
      </c>
      <c r="Z587">
        <v>35.122</v>
      </c>
      <c r="AA587">
        <v>139.99</v>
      </c>
      <c r="AB587">
        <v>4.2</v>
      </c>
      <c r="AC587">
        <v>35.122</v>
      </c>
      <c r="AD587">
        <v>159.99</v>
      </c>
      <c r="AE587">
        <f>Table1[[#This Row],[total_price]]/Table1[[#This Row],[qty]]</f>
        <v>139.99</v>
      </c>
      <c r="AF587">
        <f t="shared" si="9"/>
        <v>159.99</v>
      </c>
      <c r="AG587">
        <f>IF(ROW()=2, "", AVERAGE(D$2:D586))</f>
        <v>14.425641025641026</v>
      </c>
    </row>
    <row r="588" spans="1:33" x14ac:dyDescent="0.25">
      <c r="A588" t="s">
        <v>83</v>
      </c>
      <c r="B588" t="s">
        <v>48</v>
      </c>
      <c r="C588" s="1">
        <v>42741</v>
      </c>
      <c r="D588">
        <v>3</v>
      </c>
      <c r="E588">
        <v>479.97</v>
      </c>
      <c r="F588">
        <v>42.033333329999998</v>
      </c>
      <c r="G588">
        <v>159.99</v>
      </c>
      <c r="H588">
        <v>59</v>
      </c>
      <c r="I588">
        <v>1893</v>
      </c>
      <c r="J588">
        <v>1</v>
      </c>
      <c r="K588">
        <v>6550</v>
      </c>
      <c r="L588">
        <v>4.2</v>
      </c>
      <c r="M588">
        <v>15</v>
      </c>
      <c r="N588">
        <v>22</v>
      </c>
      <c r="O588">
        <v>8</v>
      </c>
      <c r="P588">
        <v>1</v>
      </c>
      <c r="Q588">
        <v>6</v>
      </c>
      <c r="R588">
        <v>2017</v>
      </c>
      <c r="S588">
        <v>7.0727040819999996</v>
      </c>
      <c r="T588">
        <v>8000</v>
      </c>
      <c r="U588">
        <v>159.99</v>
      </c>
      <c r="V588">
        <v>4.2</v>
      </c>
      <c r="W588">
        <v>42.033333329999998</v>
      </c>
      <c r="X588">
        <v>159.99</v>
      </c>
      <c r="Y588">
        <v>4.2</v>
      </c>
      <c r="Z588">
        <v>42.033333329999998</v>
      </c>
      <c r="AA588">
        <v>159.99</v>
      </c>
      <c r="AB588">
        <v>4.2</v>
      </c>
      <c r="AC588">
        <v>42.033333329999998</v>
      </c>
      <c r="AD588">
        <v>159.94</v>
      </c>
      <c r="AE588">
        <f>Table1[[#This Row],[total_price]]/Table1[[#This Row],[qty]]</f>
        <v>159.99</v>
      </c>
      <c r="AF588">
        <f t="shared" si="9"/>
        <v>139.99</v>
      </c>
      <c r="AG588">
        <f>IF(ROW()=2, "", AVERAGE(D$2:D587))</f>
        <v>14.409556313993175</v>
      </c>
    </row>
    <row r="589" spans="1:33" x14ac:dyDescent="0.25">
      <c r="A589" t="s">
        <v>83</v>
      </c>
      <c r="B589" t="s">
        <v>48</v>
      </c>
      <c r="C589" s="1">
        <v>42742</v>
      </c>
      <c r="D589">
        <v>6</v>
      </c>
      <c r="E589">
        <v>839.94</v>
      </c>
      <c r="F589">
        <v>48.108333330000001</v>
      </c>
      <c r="G589">
        <v>139.99</v>
      </c>
      <c r="H589">
        <v>59</v>
      </c>
      <c r="I589">
        <v>1893</v>
      </c>
      <c r="J589">
        <v>1</v>
      </c>
      <c r="K589">
        <v>6550</v>
      </c>
      <c r="L589">
        <v>4.2</v>
      </c>
      <c r="M589">
        <v>17</v>
      </c>
      <c r="N589">
        <v>21</v>
      </c>
      <c r="O589">
        <v>10</v>
      </c>
      <c r="P589">
        <v>1</v>
      </c>
      <c r="Q589">
        <v>7</v>
      </c>
      <c r="R589">
        <v>2017</v>
      </c>
      <c r="S589">
        <v>4.9617346939999996</v>
      </c>
      <c r="T589">
        <v>8000</v>
      </c>
      <c r="U589">
        <v>139.99</v>
      </c>
      <c r="V589">
        <v>4.2</v>
      </c>
      <c r="W589">
        <v>48.108333330000001</v>
      </c>
      <c r="X589">
        <v>139.99</v>
      </c>
      <c r="Y589">
        <v>4.2</v>
      </c>
      <c r="Z589">
        <v>48.108333330000001</v>
      </c>
      <c r="AA589">
        <v>139.99</v>
      </c>
      <c r="AB589">
        <v>4.2</v>
      </c>
      <c r="AC589">
        <v>48.108333330000001</v>
      </c>
      <c r="AD589">
        <v>159.99</v>
      </c>
      <c r="AE589">
        <f>Table1[[#This Row],[total_price]]/Table1[[#This Row],[qty]]</f>
        <v>139.99</v>
      </c>
      <c r="AF589">
        <f t="shared" si="9"/>
        <v>159.99</v>
      </c>
      <c r="AG589">
        <f>IF(ROW()=2, "", AVERAGE(D$2:D588))</f>
        <v>14.390119250425894</v>
      </c>
    </row>
    <row r="590" spans="1:33" x14ac:dyDescent="0.25">
      <c r="A590" t="s">
        <v>83</v>
      </c>
      <c r="B590" t="s">
        <v>48</v>
      </c>
      <c r="C590" s="1">
        <v>42743</v>
      </c>
      <c r="D590">
        <v>7</v>
      </c>
      <c r="E590">
        <v>1019.93</v>
      </c>
      <c r="F590">
        <v>36.46</v>
      </c>
      <c r="G590">
        <v>145.70428570000001</v>
      </c>
      <c r="H590">
        <v>59</v>
      </c>
      <c r="I590">
        <v>1893</v>
      </c>
      <c r="J590">
        <v>1</v>
      </c>
      <c r="K590">
        <v>6550</v>
      </c>
      <c r="L590">
        <v>4.2</v>
      </c>
      <c r="M590">
        <v>15</v>
      </c>
      <c r="N590">
        <v>23</v>
      </c>
      <c r="O590">
        <v>8</v>
      </c>
      <c r="P590">
        <v>1</v>
      </c>
      <c r="Q590">
        <v>8</v>
      </c>
      <c r="R590">
        <v>2017</v>
      </c>
      <c r="S590">
        <v>5.6866496599999996</v>
      </c>
      <c r="T590">
        <v>8000</v>
      </c>
      <c r="U590">
        <v>145.70428570000001</v>
      </c>
      <c r="V590">
        <v>4.2</v>
      </c>
      <c r="W590">
        <v>36.46</v>
      </c>
      <c r="X590">
        <v>145.70428570000001</v>
      </c>
      <c r="Y590">
        <v>4.2</v>
      </c>
      <c r="Z590">
        <v>36.46</v>
      </c>
      <c r="AA590">
        <v>145.70428570000001</v>
      </c>
      <c r="AB590">
        <v>4.2</v>
      </c>
      <c r="AC590">
        <v>36.46</v>
      </c>
      <c r="AD590">
        <v>139.99</v>
      </c>
      <c r="AE590">
        <f>Table1[[#This Row],[total_price]]/Table1[[#This Row],[qty]]</f>
        <v>145.7042857142857</v>
      </c>
      <c r="AF590">
        <f t="shared" si="9"/>
        <v>139.99</v>
      </c>
      <c r="AG590">
        <f>IF(ROW()=2, "", AVERAGE(D$2:D589))</f>
        <v>14.375850340136054</v>
      </c>
    </row>
    <row r="591" spans="1:33" x14ac:dyDescent="0.25">
      <c r="A591" t="s">
        <v>83</v>
      </c>
      <c r="B591" t="s">
        <v>48</v>
      </c>
      <c r="C591" s="1">
        <v>42744</v>
      </c>
      <c r="D591">
        <v>11</v>
      </c>
      <c r="E591">
        <v>1679.89</v>
      </c>
      <c r="F591">
        <v>43.72272727</v>
      </c>
      <c r="G591">
        <v>151.99</v>
      </c>
      <c r="H591">
        <v>59</v>
      </c>
      <c r="I591">
        <v>1893</v>
      </c>
      <c r="J591">
        <v>1</v>
      </c>
      <c r="K591">
        <v>6550</v>
      </c>
      <c r="L591">
        <v>4.2</v>
      </c>
      <c r="M591">
        <v>15</v>
      </c>
      <c r="N591">
        <v>21</v>
      </c>
      <c r="O591">
        <v>9</v>
      </c>
      <c r="P591">
        <v>1</v>
      </c>
      <c r="Q591">
        <v>9</v>
      </c>
      <c r="R591">
        <v>2017</v>
      </c>
      <c r="S591">
        <v>11.45833333</v>
      </c>
      <c r="T591">
        <v>8000</v>
      </c>
      <c r="U591">
        <v>151.99</v>
      </c>
      <c r="V591">
        <v>4.2</v>
      </c>
      <c r="W591">
        <v>43.72272727</v>
      </c>
      <c r="X591">
        <v>151.99</v>
      </c>
      <c r="Y591">
        <v>4.2</v>
      </c>
      <c r="Z591">
        <v>43.72272727</v>
      </c>
      <c r="AA591">
        <v>151.99</v>
      </c>
      <c r="AB591">
        <v>4.2</v>
      </c>
      <c r="AC591">
        <v>43.72272727</v>
      </c>
      <c r="AD591">
        <v>145.70428570000001</v>
      </c>
      <c r="AE591">
        <f>Table1[[#This Row],[total_price]]/Table1[[#This Row],[qty]]</f>
        <v>152.71727272727273</v>
      </c>
      <c r="AF591">
        <f t="shared" si="9"/>
        <v>145.7042857142857</v>
      </c>
      <c r="AG591">
        <f>IF(ROW()=2, "", AVERAGE(D$2:D590))</f>
        <v>14.363327674023768</v>
      </c>
    </row>
    <row r="592" spans="1:33" x14ac:dyDescent="0.25">
      <c r="A592" t="s">
        <v>83</v>
      </c>
      <c r="B592" t="s">
        <v>48</v>
      </c>
      <c r="C592" s="1">
        <v>42745</v>
      </c>
      <c r="D592">
        <v>17</v>
      </c>
      <c r="E592">
        <v>2629.83</v>
      </c>
      <c r="F592">
        <v>43.88117647</v>
      </c>
      <c r="G592">
        <v>154.69588239999999</v>
      </c>
      <c r="H592">
        <v>59</v>
      </c>
      <c r="I592">
        <v>1893</v>
      </c>
      <c r="J592">
        <v>1</v>
      </c>
      <c r="K592">
        <v>6550</v>
      </c>
      <c r="L592">
        <v>4.2</v>
      </c>
      <c r="M592">
        <v>31</v>
      </c>
      <c r="N592">
        <v>22</v>
      </c>
      <c r="O592">
        <v>9</v>
      </c>
      <c r="P592">
        <v>2</v>
      </c>
      <c r="Q592">
        <v>10</v>
      </c>
      <c r="R592">
        <v>2017</v>
      </c>
      <c r="S592">
        <v>17.708333329999999</v>
      </c>
      <c r="T592">
        <v>8000</v>
      </c>
      <c r="U592">
        <v>154.69588239999999</v>
      </c>
      <c r="V592">
        <v>4.2</v>
      </c>
      <c r="W592">
        <v>43.88117647</v>
      </c>
      <c r="X592">
        <v>154.69588239999999</v>
      </c>
      <c r="Y592">
        <v>4.2</v>
      </c>
      <c r="Z592">
        <v>43.88117647</v>
      </c>
      <c r="AA592">
        <v>154.69588239999999</v>
      </c>
      <c r="AB592">
        <v>4.2</v>
      </c>
      <c r="AC592">
        <v>43.88117647</v>
      </c>
      <c r="AD592">
        <v>151.99</v>
      </c>
      <c r="AE592">
        <f>Table1[[#This Row],[total_price]]/Table1[[#This Row],[qty]]</f>
        <v>154.69588235294117</v>
      </c>
      <c r="AF592">
        <f t="shared" si="9"/>
        <v>152.71727272727273</v>
      </c>
      <c r="AG592">
        <f>IF(ROW()=2, "", AVERAGE(D$2:D591))</f>
        <v>14.357627118644068</v>
      </c>
    </row>
    <row r="593" spans="1:33" x14ac:dyDescent="0.25">
      <c r="A593" t="s">
        <v>83</v>
      </c>
      <c r="B593" t="s">
        <v>48</v>
      </c>
      <c r="C593" s="1">
        <v>42746</v>
      </c>
      <c r="D593">
        <v>18</v>
      </c>
      <c r="E593">
        <v>2699.82</v>
      </c>
      <c r="F593">
        <v>42.517222220000001</v>
      </c>
      <c r="G593">
        <v>149.99</v>
      </c>
      <c r="H593">
        <v>59</v>
      </c>
      <c r="I593">
        <v>1893</v>
      </c>
      <c r="J593">
        <v>1</v>
      </c>
      <c r="K593">
        <v>6550</v>
      </c>
      <c r="L593">
        <v>4.2</v>
      </c>
      <c r="M593">
        <v>36</v>
      </c>
      <c r="N593">
        <v>22</v>
      </c>
      <c r="O593">
        <v>8</v>
      </c>
      <c r="P593">
        <v>4</v>
      </c>
      <c r="Q593">
        <v>11</v>
      </c>
      <c r="R593">
        <v>2017</v>
      </c>
      <c r="S593">
        <v>18.75</v>
      </c>
      <c r="T593">
        <v>8000</v>
      </c>
      <c r="U593">
        <v>149.99</v>
      </c>
      <c r="V593">
        <v>4.2</v>
      </c>
      <c r="W593">
        <v>42.517222220000001</v>
      </c>
      <c r="X593">
        <v>149.99</v>
      </c>
      <c r="Y593">
        <v>4.2</v>
      </c>
      <c r="Z593">
        <v>42.517222220000001</v>
      </c>
      <c r="AA593">
        <v>109.9</v>
      </c>
      <c r="AB593">
        <v>3.5</v>
      </c>
      <c r="AC593">
        <v>15.52</v>
      </c>
      <c r="AD593">
        <v>154.69588239999999</v>
      </c>
      <c r="AE593">
        <f>Table1[[#This Row],[total_price]]/Table1[[#This Row],[qty]]</f>
        <v>149.99</v>
      </c>
      <c r="AF593">
        <f t="shared" si="9"/>
        <v>154.69588235294117</v>
      </c>
      <c r="AG593">
        <f>IF(ROW()=2, "", AVERAGE(D$2:D592))</f>
        <v>14.362098138747886</v>
      </c>
    </row>
    <row r="594" spans="1:33" x14ac:dyDescent="0.25">
      <c r="A594" t="s">
        <v>83</v>
      </c>
      <c r="B594" t="s">
        <v>48</v>
      </c>
      <c r="C594" s="1">
        <v>42747</v>
      </c>
      <c r="D594">
        <v>23</v>
      </c>
      <c r="E594">
        <v>3449.77</v>
      </c>
      <c r="F594">
        <v>38.57</v>
      </c>
      <c r="G594">
        <v>149.99</v>
      </c>
      <c r="H594">
        <v>59</v>
      </c>
      <c r="I594">
        <v>1893</v>
      </c>
      <c r="J594">
        <v>1</v>
      </c>
      <c r="K594">
        <v>6550</v>
      </c>
      <c r="L594">
        <v>4.2</v>
      </c>
      <c r="M594">
        <v>35</v>
      </c>
      <c r="N594">
        <v>21</v>
      </c>
      <c r="O594">
        <v>10</v>
      </c>
      <c r="P594">
        <v>1</v>
      </c>
      <c r="Q594">
        <v>12</v>
      </c>
      <c r="R594">
        <v>2017</v>
      </c>
      <c r="S594">
        <v>23.958333329999999</v>
      </c>
      <c r="T594">
        <v>8000</v>
      </c>
      <c r="U594">
        <v>149.99</v>
      </c>
      <c r="V594">
        <v>4.2</v>
      </c>
      <c r="W594">
        <v>38.57</v>
      </c>
      <c r="X594">
        <v>149.99</v>
      </c>
      <c r="Y594">
        <v>4.2</v>
      </c>
      <c r="Z594">
        <v>38.57</v>
      </c>
      <c r="AA594">
        <v>109.9</v>
      </c>
      <c r="AB594">
        <v>3.5</v>
      </c>
      <c r="AC594">
        <v>25.249166670000001</v>
      </c>
      <c r="AD594">
        <v>149.99</v>
      </c>
      <c r="AE594">
        <f>Table1[[#This Row],[total_price]]/Table1[[#This Row],[qty]]</f>
        <v>149.99</v>
      </c>
      <c r="AF594">
        <f t="shared" si="9"/>
        <v>149.99</v>
      </c>
      <c r="AG594">
        <f>IF(ROW()=2, "", AVERAGE(D$2:D593))</f>
        <v>14.368243243243244</v>
      </c>
    </row>
    <row r="595" spans="1:33" x14ac:dyDescent="0.25">
      <c r="A595" t="s">
        <v>83</v>
      </c>
      <c r="B595" t="s">
        <v>48</v>
      </c>
      <c r="C595" s="1">
        <v>43101</v>
      </c>
      <c r="D595">
        <v>43</v>
      </c>
      <c r="E595">
        <v>6746.9</v>
      </c>
      <c r="F595">
        <v>36.807209299999997</v>
      </c>
      <c r="G595">
        <v>156.5113514</v>
      </c>
      <c r="H595">
        <v>59</v>
      </c>
      <c r="I595">
        <v>1893</v>
      </c>
      <c r="J595">
        <v>1</v>
      </c>
      <c r="K595">
        <v>6550</v>
      </c>
      <c r="L595">
        <v>4.2</v>
      </c>
      <c r="M595">
        <v>152</v>
      </c>
      <c r="N595">
        <v>23</v>
      </c>
      <c r="O595">
        <v>8</v>
      </c>
      <c r="P595">
        <v>2</v>
      </c>
      <c r="Q595">
        <v>1</v>
      </c>
      <c r="R595">
        <v>2018</v>
      </c>
      <c r="S595">
        <v>17.55102041</v>
      </c>
      <c r="T595">
        <v>8000</v>
      </c>
      <c r="U595">
        <v>156.5113514</v>
      </c>
      <c r="V595">
        <v>4.2</v>
      </c>
      <c r="W595">
        <v>36.807209299999997</v>
      </c>
      <c r="X595">
        <v>150.3545455</v>
      </c>
      <c r="Y595">
        <v>4.3</v>
      </c>
      <c r="Z595">
        <v>22.547727269999999</v>
      </c>
      <c r="AA595">
        <v>97.642499999999998</v>
      </c>
      <c r="AB595">
        <v>3.5</v>
      </c>
      <c r="AC595">
        <v>14.846551720000001</v>
      </c>
      <c r="AD595">
        <v>149.99</v>
      </c>
      <c r="AE595">
        <f>Table1[[#This Row],[total_price]]/Table1[[#This Row],[qty]]</f>
        <v>156.90465116279069</v>
      </c>
      <c r="AF595">
        <f t="shared" si="9"/>
        <v>149.99</v>
      </c>
      <c r="AG595">
        <f>IF(ROW()=2, "", AVERAGE(D$2:D594))</f>
        <v>14.382799325463743</v>
      </c>
    </row>
    <row r="596" spans="1:33" x14ac:dyDescent="0.25">
      <c r="A596" t="s">
        <v>83</v>
      </c>
      <c r="B596" t="s">
        <v>48</v>
      </c>
      <c r="C596" s="1">
        <v>43102</v>
      </c>
      <c r="D596">
        <v>31</v>
      </c>
      <c r="E596">
        <v>4619</v>
      </c>
      <c r="F596">
        <v>41.16322581</v>
      </c>
      <c r="G596">
        <v>149</v>
      </c>
      <c r="H596">
        <v>59</v>
      </c>
      <c r="I596">
        <v>1893</v>
      </c>
      <c r="J596">
        <v>1</v>
      </c>
      <c r="K596">
        <v>6550</v>
      </c>
      <c r="L596">
        <v>4.2</v>
      </c>
      <c r="M596">
        <v>202</v>
      </c>
      <c r="N596">
        <v>20</v>
      </c>
      <c r="O596">
        <v>8</v>
      </c>
      <c r="P596">
        <v>2</v>
      </c>
      <c r="Q596">
        <v>2</v>
      </c>
      <c r="R596">
        <v>2018</v>
      </c>
      <c r="S596">
        <v>7.889030612</v>
      </c>
      <c r="T596">
        <v>8000</v>
      </c>
      <c r="U596">
        <v>149</v>
      </c>
      <c r="V596">
        <v>4.2</v>
      </c>
      <c r="W596">
        <v>41.16322581</v>
      </c>
      <c r="X596">
        <v>149.9</v>
      </c>
      <c r="Y596">
        <v>4.3</v>
      </c>
      <c r="Z596">
        <v>26.552898549999998</v>
      </c>
      <c r="AA596">
        <v>78.712280699999994</v>
      </c>
      <c r="AB596">
        <v>3.5</v>
      </c>
      <c r="AC596">
        <v>14.535915490000001</v>
      </c>
      <c r="AD596">
        <v>156.5113514</v>
      </c>
      <c r="AE596">
        <f>Table1[[#This Row],[total_price]]/Table1[[#This Row],[qty]]</f>
        <v>149</v>
      </c>
      <c r="AF596">
        <f t="shared" si="9"/>
        <v>156.90465116279069</v>
      </c>
      <c r="AG596">
        <f>IF(ROW()=2, "", AVERAGE(D$2:D595))</f>
        <v>14.430976430976431</v>
      </c>
    </row>
    <row r="597" spans="1:33" x14ac:dyDescent="0.25">
      <c r="A597" t="s">
        <v>83</v>
      </c>
      <c r="B597" t="s">
        <v>48</v>
      </c>
      <c r="C597" s="1">
        <v>43103</v>
      </c>
      <c r="D597">
        <v>44</v>
      </c>
      <c r="E597">
        <v>5986</v>
      </c>
      <c r="F597">
        <v>48.047499999999999</v>
      </c>
      <c r="G597">
        <v>136.14285709999999</v>
      </c>
      <c r="H597">
        <v>59</v>
      </c>
      <c r="I597">
        <v>1893</v>
      </c>
      <c r="J597">
        <v>1</v>
      </c>
      <c r="K597">
        <v>6550</v>
      </c>
      <c r="L597">
        <v>4.2</v>
      </c>
      <c r="M597">
        <v>127</v>
      </c>
      <c r="N597">
        <v>22</v>
      </c>
      <c r="O597">
        <v>9</v>
      </c>
      <c r="P597">
        <v>1</v>
      </c>
      <c r="Q597">
        <v>3</v>
      </c>
      <c r="R597">
        <v>2018</v>
      </c>
      <c r="S597">
        <v>10.542091839999999</v>
      </c>
      <c r="T597">
        <v>8000</v>
      </c>
      <c r="U597">
        <v>136.14285709999999</v>
      </c>
      <c r="V597">
        <v>4.2</v>
      </c>
      <c r="W597">
        <v>48.047499999999999</v>
      </c>
      <c r="X597">
        <v>149.9</v>
      </c>
      <c r="Y597">
        <v>4.3</v>
      </c>
      <c r="Z597">
        <v>28.475882349999999</v>
      </c>
      <c r="AA597">
        <v>81.023913039999996</v>
      </c>
      <c r="AB597">
        <v>3.5</v>
      </c>
      <c r="AC597">
        <v>18.221481480000001</v>
      </c>
      <c r="AD597">
        <v>149</v>
      </c>
      <c r="AE597">
        <f>Table1[[#This Row],[total_price]]/Table1[[#This Row],[qty]]</f>
        <v>136.04545454545453</v>
      </c>
      <c r="AF597">
        <f t="shared" si="9"/>
        <v>149</v>
      </c>
      <c r="AG597">
        <f>IF(ROW()=2, "", AVERAGE(D$2:D596))</f>
        <v>14.458823529411765</v>
      </c>
    </row>
    <row r="598" spans="1:33" x14ac:dyDescent="0.25">
      <c r="A598" t="s">
        <v>83</v>
      </c>
      <c r="B598" t="s">
        <v>48</v>
      </c>
      <c r="C598" s="1">
        <v>43104</v>
      </c>
      <c r="D598">
        <v>56</v>
      </c>
      <c r="E598">
        <v>6764</v>
      </c>
      <c r="F598">
        <v>27.253035709999999</v>
      </c>
      <c r="G598">
        <v>120.9230769</v>
      </c>
      <c r="H598">
        <v>59</v>
      </c>
      <c r="I598">
        <v>1893</v>
      </c>
      <c r="J598">
        <v>1</v>
      </c>
      <c r="K598">
        <v>6550</v>
      </c>
      <c r="L598">
        <v>4.2</v>
      </c>
      <c r="M598">
        <v>107</v>
      </c>
      <c r="N598">
        <v>21</v>
      </c>
      <c r="O598">
        <v>9</v>
      </c>
      <c r="P598">
        <v>1</v>
      </c>
      <c r="Q598">
        <v>4</v>
      </c>
      <c r="R598">
        <v>2018</v>
      </c>
      <c r="S598">
        <v>14.0327381</v>
      </c>
      <c r="T598">
        <v>8000</v>
      </c>
      <c r="U598">
        <v>120.9230769</v>
      </c>
      <c r="V598">
        <v>4.2</v>
      </c>
      <c r="W598">
        <v>27.253035709999999</v>
      </c>
      <c r="X598">
        <v>149.9</v>
      </c>
      <c r="Y598">
        <v>4.3</v>
      </c>
      <c r="Z598">
        <v>30.227428570000001</v>
      </c>
      <c r="AA598">
        <v>80.666666669999998</v>
      </c>
      <c r="AB598">
        <v>3.5</v>
      </c>
      <c r="AC598">
        <v>18.17230769</v>
      </c>
      <c r="AD598">
        <v>136.14285709999999</v>
      </c>
      <c r="AE598">
        <f>Table1[[#This Row],[total_price]]/Table1[[#This Row],[qty]]</f>
        <v>120.78571428571429</v>
      </c>
      <c r="AF598">
        <f t="shared" si="9"/>
        <v>136.04545454545453</v>
      </c>
      <c r="AG598">
        <f>IF(ROW()=2, "", AVERAGE(D$2:D597))</f>
        <v>14.508389261744966</v>
      </c>
    </row>
    <row r="599" spans="1:33" x14ac:dyDescent="0.25">
      <c r="A599" t="s">
        <v>83</v>
      </c>
      <c r="B599" t="s">
        <v>48</v>
      </c>
      <c r="C599" s="1">
        <v>43105</v>
      </c>
      <c r="D599">
        <v>25</v>
      </c>
      <c r="E599">
        <v>2975</v>
      </c>
      <c r="F599">
        <v>39.217199999999998</v>
      </c>
      <c r="G599">
        <v>119</v>
      </c>
      <c r="H599">
        <v>59</v>
      </c>
      <c r="I599">
        <v>1893</v>
      </c>
      <c r="J599">
        <v>1</v>
      </c>
      <c r="K599">
        <v>6550</v>
      </c>
      <c r="L599">
        <v>4.2</v>
      </c>
      <c r="M599">
        <v>78</v>
      </c>
      <c r="N599">
        <v>23</v>
      </c>
      <c r="O599">
        <v>8</v>
      </c>
      <c r="P599">
        <v>3</v>
      </c>
      <c r="Q599">
        <v>5</v>
      </c>
      <c r="R599">
        <v>2018</v>
      </c>
      <c r="S599">
        <v>10.204081629999999</v>
      </c>
      <c r="T599">
        <v>8000</v>
      </c>
      <c r="U599">
        <v>119</v>
      </c>
      <c r="V599">
        <v>4.2</v>
      </c>
      <c r="W599">
        <v>39.217199999999998</v>
      </c>
      <c r="X599">
        <v>149.9</v>
      </c>
      <c r="Y599">
        <v>4.3</v>
      </c>
      <c r="Z599">
        <v>18.943076919999999</v>
      </c>
      <c r="AA599">
        <v>79.8</v>
      </c>
      <c r="AB599">
        <v>3.5</v>
      </c>
      <c r="AC599">
        <v>14.41454545</v>
      </c>
      <c r="AD599">
        <v>120.9230769</v>
      </c>
      <c r="AE599">
        <f>Table1[[#This Row],[total_price]]/Table1[[#This Row],[qty]]</f>
        <v>119</v>
      </c>
      <c r="AF599">
        <f t="shared" si="9"/>
        <v>120.78571428571429</v>
      </c>
      <c r="AG599">
        <f>IF(ROW()=2, "", AVERAGE(D$2:D598))</f>
        <v>14.577889447236181</v>
      </c>
    </row>
    <row r="600" spans="1:33" x14ac:dyDescent="0.25">
      <c r="A600" t="s">
        <v>83</v>
      </c>
      <c r="B600" t="s">
        <v>48</v>
      </c>
      <c r="C600" s="1">
        <v>43106</v>
      </c>
      <c r="D600">
        <v>27</v>
      </c>
      <c r="E600">
        <v>3086.76</v>
      </c>
      <c r="F600">
        <v>53.625555560000002</v>
      </c>
      <c r="G600">
        <v>114.49115380000001</v>
      </c>
      <c r="H600">
        <v>59</v>
      </c>
      <c r="I600">
        <v>1893</v>
      </c>
      <c r="J600">
        <v>1</v>
      </c>
      <c r="K600">
        <v>6550</v>
      </c>
      <c r="L600">
        <v>4.2</v>
      </c>
      <c r="M600">
        <v>66</v>
      </c>
      <c r="N600">
        <v>21</v>
      </c>
      <c r="O600">
        <v>9</v>
      </c>
      <c r="P600">
        <v>0</v>
      </c>
      <c r="Q600">
        <v>6</v>
      </c>
      <c r="R600">
        <v>2018</v>
      </c>
      <c r="S600">
        <v>7.0727040819999996</v>
      </c>
      <c r="T600">
        <v>8000</v>
      </c>
      <c r="U600">
        <v>114.49115380000001</v>
      </c>
      <c r="V600">
        <v>4.2</v>
      </c>
      <c r="W600">
        <v>53.625555560000002</v>
      </c>
      <c r="X600">
        <v>149.9</v>
      </c>
      <c r="Y600">
        <v>4.3</v>
      </c>
      <c r="Z600">
        <v>27.626666669999999</v>
      </c>
      <c r="AA600">
        <v>78.900000000000006</v>
      </c>
      <c r="AB600">
        <v>3.5</v>
      </c>
      <c r="AC600">
        <v>17.327999999999999</v>
      </c>
      <c r="AD600">
        <v>119</v>
      </c>
      <c r="AE600">
        <f>Table1[[#This Row],[total_price]]/Table1[[#This Row],[qty]]</f>
        <v>114.32444444444445</v>
      </c>
      <c r="AF600">
        <f t="shared" si="9"/>
        <v>119</v>
      </c>
      <c r="AG600">
        <f>IF(ROW()=2, "", AVERAGE(D$2:D599))</f>
        <v>14.595317725752508</v>
      </c>
    </row>
    <row r="601" spans="1:33" x14ac:dyDescent="0.25">
      <c r="A601" t="s">
        <v>83</v>
      </c>
      <c r="B601" t="s">
        <v>48</v>
      </c>
      <c r="C601" s="1">
        <v>43107</v>
      </c>
      <c r="D601">
        <v>9</v>
      </c>
      <c r="E601">
        <v>1079.9100000000001</v>
      </c>
      <c r="F601">
        <v>48.626666669999999</v>
      </c>
      <c r="G601">
        <v>119.99</v>
      </c>
      <c r="H601">
        <v>59</v>
      </c>
      <c r="I601">
        <v>1893</v>
      </c>
      <c r="J601">
        <v>1</v>
      </c>
      <c r="K601">
        <v>6550</v>
      </c>
      <c r="L601">
        <v>4.2</v>
      </c>
      <c r="M601">
        <v>43</v>
      </c>
      <c r="N601">
        <v>22</v>
      </c>
      <c r="O601">
        <v>9</v>
      </c>
      <c r="P601">
        <v>1</v>
      </c>
      <c r="Q601">
        <v>7</v>
      </c>
      <c r="R601">
        <v>2018</v>
      </c>
      <c r="S601">
        <v>4.9617346939999996</v>
      </c>
      <c r="T601">
        <v>8000</v>
      </c>
      <c r="U601">
        <v>119.99</v>
      </c>
      <c r="V601">
        <v>4.2</v>
      </c>
      <c r="W601">
        <v>48.626666669999999</v>
      </c>
      <c r="X601">
        <v>149.9</v>
      </c>
      <c r="Y601">
        <v>4.3</v>
      </c>
      <c r="Z601">
        <v>33.571538459999999</v>
      </c>
      <c r="AA601">
        <v>77.900000000000006</v>
      </c>
      <c r="AB601">
        <v>3.5</v>
      </c>
      <c r="AC601">
        <v>14.638571430000001</v>
      </c>
      <c r="AD601">
        <v>114.49115380000001</v>
      </c>
      <c r="AE601">
        <f>Table1[[#This Row],[total_price]]/Table1[[#This Row],[qty]]</f>
        <v>119.99000000000001</v>
      </c>
      <c r="AF601">
        <f t="shared" si="9"/>
        <v>114.32444444444445</v>
      </c>
      <c r="AG601">
        <f>IF(ROW()=2, "", AVERAGE(D$2:D600))</f>
        <v>14.616026711185309</v>
      </c>
    </row>
    <row r="602" spans="1:33" x14ac:dyDescent="0.25">
      <c r="A602" t="s">
        <v>83</v>
      </c>
      <c r="B602" t="s">
        <v>48</v>
      </c>
      <c r="C602" s="1">
        <v>43108</v>
      </c>
      <c r="D602">
        <v>10</v>
      </c>
      <c r="E602">
        <v>1199.9000000000001</v>
      </c>
      <c r="F602">
        <v>39.045999999999999</v>
      </c>
      <c r="G602">
        <v>119.99</v>
      </c>
      <c r="H602">
        <v>59</v>
      </c>
      <c r="I602">
        <v>1893</v>
      </c>
      <c r="J602">
        <v>1</v>
      </c>
      <c r="K602">
        <v>6550</v>
      </c>
      <c r="L602">
        <v>4.2</v>
      </c>
      <c r="M602">
        <v>18</v>
      </c>
      <c r="N602">
        <v>23</v>
      </c>
      <c r="O602">
        <v>8</v>
      </c>
      <c r="P602">
        <v>1</v>
      </c>
      <c r="Q602">
        <v>8</v>
      </c>
      <c r="R602">
        <v>2018</v>
      </c>
      <c r="S602">
        <v>5.6866496599999996</v>
      </c>
      <c r="T602">
        <v>8000</v>
      </c>
      <c r="U602">
        <v>119.99</v>
      </c>
      <c r="V602">
        <v>4.2</v>
      </c>
      <c r="W602">
        <v>39.045999999999999</v>
      </c>
      <c r="X602">
        <v>149.9</v>
      </c>
      <c r="Y602">
        <v>4.3</v>
      </c>
      <c r="Z602">
        <v>24.76</v>
      </c>
      <c r="AA602">
        <v>77.900000000000006</v>
      </c>
      <c r="AB602">
        <v>3.5</v>
      </c>
      <c r="AC602">
        <v>13.414999999999999</v>
      </c>
      <c r="AD602">
        <v>119.99</v>
      </c>
      <c r="AE602">
        <f>Table1[[#This Row],[total_price]]/Table1[[#This Row],[qty]]</f>
        <v>119.99000000000001</v>
      </c>
      <c r="AF602">
        <f t="shared" si="9"/>
        <v>119.99000000000001</v>
      </c>
      <c r="AG602">
        <f>IF(ROW()=2, "", AVERAGE(D$2:D601))</f>
        <v>14.606666666666667</v>
      </c>
    </row>
    <row r="603" spans="1:33" x14ac:dyDescent="0.25">
      <c r="A603" t="s">
        <v>84</v>
      </c>
      <c r="B603" t="s">
        <v>55</v>
      </c>
      <c r="C603" s="1">
        <v>42743</v>
      </c>
      <c r="D603">
        <v>2</v>
      </c>
      <c r="E603">
        <v>678</v>
      </c>
      <c r="F603">
        <v>13.845000000000001</v>
      </c>
      <c r="G603">
        <v>339</v>
      </c>
      <c r="H603">
        <v>46</v>
      </c>
      <c r="I603">
        <v>501</v>
      </c>
      <c r="J603">
        <v>4</v>
      </c>
      <c r="K603">
        <v>363</v>
      </c>
      <c r="L603">
        <v>3.7</v>
      </c>
      <c r="M603">
        <v>48</v>
      </c>
      <c r="N603">
        <v>23</v>
      </c>
      <c r="O603">
        <v>8</v>
      </c>
      <c r="P603">
        <v>1</v>
      </c>
      <c r="Q603">
        <v>8</v>
      </c>
      <c r="R603">
        <v>2017</v>
      </c>
      <c r="S603">
        <v>6.0606060609999997</v>
      </c>
      <c r="T603">
        <v>3042</v>
      </c>
      <c r="U603">
        <v>160.66923080000001</v>
      </c>
      <c r="V603">
        <v>4.2</v>
      </c>
      <c r="W603">
        <v>15.185384620000001</v>
      </c>
      <c r="X603">
        <v>339</v>
      </c>
      <c r="Y603">
        <v>3.7</v>
      </c>
      <c r="Z603">
        <v>13.845000000000001</v>
      </c>
      <c r="AA603">
        <v>179.9</v>
      </c>
      <c r="AB603">
        <v>3.8</v>
      </c>
      <c r="AC603">
        <v>14.926666669999999</v>
      </c>
      <c r="AD603">
        <v>338.95</v>
      </c>
      <c r="AE603">
        <f>Table1[[#This Row],[total_price]]/Table1[[#This Row],[qty]]</f>
        <v>339</v>
      </c>
      <c r="AF603" t="str">
        <f t="shared" si="9"/>
        <v/>
      </c>
      <c r="AG603">
        <f>IF(ROW()=2, "", AVERAGE(D$2:D602))</f>
        <v>14.59900166389351</v>
      </c>
    </row>
    <row r="604" spans="1:33" x14ac:dyDescent="0.25">
      <c r="A604" t="s">
        <v>84</v>
      </c>
      <c r="B604" t="s">
        <v>55</v>
      </c>
      <c r="C604" s="1">
        <v>42744</v>
      </c>
      <c r="D604">
        <v>1</v>
      </c>
      <c r="E604">
        <v>339</v>
      </c>
      <c r="F604">
        <v>13.94</v>
      </c>
      <c r="G604">
        <v>339</v>
      </c>
      <c r="H604">
        <v>46</v>
      </c>
      <c r="I604">
        <v>501</v>
      </c>
      <c r="J604">
        <v>4</v>
      </c>
      <c r="K604">
        <v>363</v>
      </c>
      <c r="L604">
        <v>3.7</v>
      </c>
      <c r="M604">
        <v>54</v>
      </c>
      <c r="N604">
        <v>21</v>
      </c>
      <c r="O604">
        <v>9</v>
      </c>
      <c r="P604">
        <v>1</v>
      </c>
      <c r="Q604">
        <v>9</v>
      </c>
      <c r="R604">
        <v>2017</v>
      </c>
      <c r="S604">
        <v>3.0303030299999998</v>
      </c>
      <c r="T604">
        <v>3042</v>
      </c>
      <c r="U604">
        <v>148.7785714</v>
      </c>
      <c r="V604">
        <v>4.2</v>
      </c>
      <c r="W604">
        <v>14.041111109999999</v>
      </c>
      <c r="X604">
        <v>339</v>
      </c>
      <c r="Y604">
        <v>3.7</v>
      </c>
      <c r="Z604">
        <v>13.94</v>
      </c>
      <c r="AA604">
        <v>164.57</v>
      </c>
      <c r="AB604">
        <v>3.8</v>
      </c>
      <c r="AC604">
        <v>19.527999999999999</v>
      </c>
      <c r="AD604">
        <v>339</v>
      </c>
      <c r="AE604">
        <f>Table1[[#This Row],[total_price]]/Table1[[#This Row],[qty]]</f>
        <v>339</v>
      </c>
      <c r="AF604">
        <f t="shared" si="9"/>
        <v>339</v>
      </c>
      <c r="AG604">
        <f>IF(ROW()=2, "", AVERAGE(D$2:D603))</f>
        <v>14.578073089700997</v>
      </c>
    </row>
    <row r="605" spans="1:33" x14ac:dyDescent="0.25">
      <c r="A605" t="s">
        <v>84</v>
      </c>
      <c r="B605" t="s">
        <v>55</v>
      </c>
      <c r="C605" s="1">
        <v>42745</v>
      </c>
      <c r="D605">
        <v>10</v>
      </c>
      <c r="E605">
        <v>3461.58</v>
      </c>
      <c r="F605">
        <v>13.455</v>
      </c>
      <c r="G605">
        <v>346.15800000000002</v>
      </c>
      <c r="H605">
        <v>46</v>
      </c>
      <c r="I605">
        <v>501</v>
      </c>
      <c r="J605">
        <v>4</v>
      </c>
      <c r="K605">
        <v>363</v>
      </c>
      <c r="L605">
        <v>3.7</v>
      </c>
      <c r="M605">
        <v>43</v>
      </c>
      <c r="N605">
        <v>22</v>
      </c>
      <c r="O605">
        <v>9</v>
      </c>
      <c r="P605">
        <v>2</v>
      </c>
      <c r="Q605">
        <v>10</v>
      </c>
      <c r="R605">
        <v>2017</v>
      </c>
      <c r="S605">
        <v>30.3030303</v>
      </c>
      <c r="T605">
        <v>3042</v>
      </c>
      <c r="U605">
        <v>134.9</v>
      </c>
      <c r="V605">
        <v>4.2</v>
      </c>
      <c r="W605">
        <v>6.81</v>
      </c>
      <c r="X605">
        <v>346.15800000000002</v>
      </c>
      <c r="Y605">
        <v>3.7</v>
      </c>
      <c r="Z605">
        <v>13.455</v>
      </c>
      <c r="AA605">
        <v>232.49</v>
      </c>
      <c r="AB605">
        <v>3.8</v>
      </c>
      <c r="AC605">
        <v>14.2125</v>
      </c>
      <c r="AD605">
        <v>339</v>
      </c>
      <c r="AE605">
        <f>Table1[[#This Row],[total_price]]/Table1[[#This Row],[qty]]</f>
        <v>346.15800000000002</v>
      </c>
      <c r="AF605">
        <f t="shared" si="9"/>
        <v>339</v>
      </c>
      <c r="AG605">
        <f>IF(ROW()=2, "", AVERAGE(D$2:D604))</f>
        <v>14.555555555555555</v>
      </c>
    </row>
    <row r="606" spans="1:33" x14ac:dyDescent="0.25">
      <c r="A606" t="s">
        <v>84</v>
      </c>
      <c r="B606" t="s">
        <v>55</v>
      </c>
      <c r="C606" s="1">
        <v>42746</v>
      </c>
      <c r="D606">
        <v>9</v>
      </c>
      <c r="E606">
        <v>3111.36</v>
      </c>
      <c r="F606">
        <v>14.275555560000001</v>
      </c>
      <c r="G606">
        <v>345.70666670000003</v>
      </c>
      <c r="H606">
        <v>46</v>
      </c>
      <c r="I606">
        <v>501</v>
      </c>
      <c r="J606">
        <v>4</v>
      </c>
      <c r="K606">
        <v>363</v>
      </c>
      <c r="L606">
        <v>3.7</v>
      </c>
      <c r="M606">
        <v>91</v>
      </c>
      <c r="N606">
        <v>22</v>
      </c>
      <c r="O606">
        <v>8</v>
      </c>
      <c r="P606">
        <v>4</v>
      </c>
      <c r="Q606">
        <v>11</v>
      </c>
      <c r="R606">
        <v>2017</v>
      </c>
      <c r="S606">
        <v>27.272727270000001</v>
      </c>
      <c r="T606">
        <v>3042</v>
      </c>
      <c r="U606">
        <v>133</v>
      </c>
      <c r="V606">
        <v>4.2</v>
      </c>
      <c r="W606">
        <v>19.916666670000001</v>
      </c>
      <c r="X606">
        <v>108</v>
      </c>
      <c r="Y606">
        <v>4.2</v>
      </c>
      <c r="Z606">
        <v>15.908461539999999</v>
      </c>
      <c r="AA606">
        <v>174.43333329999999</v>
      </c>
      <c r="AB606">
        <v>3.8</v>
      </c>
      <c r="AC606">
        <v>20.992777780000001</v>
      </c>
      <c r="AD606">
        <v>346.15800000000002</v>
      </c>
      <c r="AE606">
        <f>Table1[[#This Row],[total_price]]/Table1[[#This Row],[qty]]</f>
        <v>345.70666666666671</v>
      </c>
      <c r="AF606">
        <f t="shared" si="9"/>
        <v>346.15800000000002</v>
      </c>
      <c r="AG606">
        <f>IF(ROW()=2, "", AVERAGE(D$2:D605))</f>
        <v>14.548013245033113</v>
      </c>
    </row>
    <row r="607" spans="1:33" x14ac:dyDescent="0.25">
      <c r="A607" t="s">
        <v>84</v>
      </c>
      <c r="B607" t="s">
        <v>55</v>
      </c>
      <c r="C607" s="1">
        <v>42747</v>
      </c>
      <c r="D607">
        <v>11</v>
      </c>
      <c r="E607">
        <v>3836.8</v>
      </c>
      <c r="F607">
        <v>16.102727269999999</v>
      </c>
      <c r="G607">
        <v>348.8</v>
      </c>
      <c r="H607">
        <v>46</v>
      </c>
      <c r="I607">
        <v>501</v>
      </c>
      <c r="J607">
        <v>4</v>
      </c>
      <c r="K607">
        <v>363</v>
      </c>
      <c r="L607">
        <v>3.7</v>
      </c>
      <c r="M607">
        <v>73</v>
      </c>
      <c r="N607">
        <v>21</v>
      </c>
      <c r="O607">
        <v>10</v>
      </c>
      <c r="P607">
        <v>1</v>
      </c>
      <c r="Q607">
        <v>12</v>
      </c>
      <c r="R607">
        <v>2017</v>
      </c>
      <c r="S607">
        <v>33.333333330000002</v>
      </c>
      <c r="T607">
        <v>3042</v>
      </c>
      <c r="U607">
        <v>149</v>
      </c>
      <c r="V607">
        <v>4.2</v>
      </c>
      <c r="W607">
        <v>19.100000000000001</v>
      </c>
      <c r="X607">
        <v>108</v>
      </c>
      <c r="Y607">
        <v>4.2</v>
      </c>
      <c r="Z607">
        <v>16.65384615</v>
      </c>
      <c r="AA607">
        <v>185.96</v>
      </c>
      <c r="AB607">
        <v>3.8</v>
      </c>
      <c r="AC607">
        <v>18.686</v>
      </c>
      <c r="AD607">
        <v>345.70666670000003</v>
      </c>
      <c r="AE607">
        <f>Table1[[#This Row],[total_price]]/Table1[[#This Row],[qty]]</f>
        <v>348.8</v>
      </c>
      <c r="AF607">
        <f t="shared" si="9"/>
        <v>345.70666666666671</v>
      </c>
      <c r="AG607">
        <f>IF(ROW()=2, "", AVERAGE(D$2:D606))</f>
        <v>14.538842975206611</v>
      </c>
    </row>
    <row r="608" spans="1:33" x14ac:dyDescent="0.25">
      <c r="A608" t="s">
        <v>84</v>
      </c>
      <c r="B608" t="s">
        <v>55</v>
      </c>
      <c r="C608" s="1">
        <v>43101</v>
      </c>
      <c r="D608">
        <v>1</v>
      </c>
      <c r="E608">
        <v>339.9</v>
      </c>
      <c r="F608">
        <v>17.13</v>
      </c>
      <c r="G608">
        <v>339.9</v>
      </c>
      <c r="H608">
        <v>46</v>
      </c>
      <c r="I608">
        <v>501</v>
      </c>
      <c r="J608">
        <v>4</v>
      </c>
      <c r="K608">
        <v>363</v>
      </c>
      <c r="L608">
        <v>3.7</v>
      </c>
      <c r="M608">
        <v>59</v>
      </c>
      <c r="N608">
        <v>23</v>
      </c>
      <c r="O608">
        <v>8</v>
      </c>
      <c r="P608">
        <v>2</v>
      </c>
      <c r="Q608">
        <v>1</v>
      </c>
      <c r="R608">
        <v>2018</v>
      </c>
      <c r="S608">
        <v>1.111111111</v>
      </c>
      <c r="T608">
        <v>3042</v>
      </c>
      <c r="U608">
        <v>339.9</v>
      </c>
      <c r="V608">
        <v>3.7</v>
      </c>
      <c r="W608">
        <v>17.13</v>
      </c>
      <c r="X608">
        <v>108</v>
      </c>
      <c r="Y608">
        <v>4.2</v>
      </c>
      <c r="Z608">
        <v>16.196363640000001</v>
      </c>
      <c r="AA608">
        <v>199</v>
      </c>
      <c r="AB608">
        <v>3.8</v>
      </c>
      <c r="AC608">
        <v>21.88</v>
      </c>
      <c r="AD608">
        <v>348.8</v>
      </c>
      <c r="AE608">
        <f>Table1[[#This Row],[total_price]]/Table1[[#This Row],[qty]]</f>
        <v>339.9</v>
      </c>
      <c r="AF608">
        <f t="shared" si="9"/>
        <v>348.8</v>
      </c>
      <c r="AG608">
        <f>IF(ROW()=2, "", AVERAGE(D$2:D607))</f>
        <v>14.533003300330034</v>
      </c>
    </row>
    <row r="609" spans="1:33" x14ac:dyDescent="0.25">
      <c r="A609" t="s">
        <v>84</v>
      </c>
      <c r="B609" t="s">
        <v>55</v>
      </c>
      <c r="C609" s="1">
        <v>43102</v>
      </c>
      <c r="D609">
        <v>5</v>
      </c>
      <c r="E609">
        <v>1735</v>
      </c>
      <c r="F609">
        <v>17.175999999999998</v>
      </c>
      <c r="G609">
        <v>347</v>
      </c>
      <c r="H609">
        <v>46</v>
      </c>
      <c r="I609">
        <v>501</v>
      </c>
      <c r="J609">
        <v>4</v>
      </c>
      <c r="K609">
        <v>363</v>
      </c>
      <c r="L609">
        <v>3.7</v>
      </c>
      <c r="M609">
        <v>90</v>
      </c>
      <c r="N609">
        <v>20</v>
      </c>
      <c r="O609">
        <v>8</v>
      </c>
      <c r="P609">
        <v>2</v>
      </c>
      <c r="Q609">
        <v>2</v>
      </c>
      <c r="R609">
        <v>2018</v>
      </c>
      <c r="S609">
        <v>5.5555555559999998</v>
      </c>
      <c r="T609">
        <v>3042</v>
      </c>
      <c r="U609">
        <v>128.2416667</v>
      </c>
      <c r="V609">
        <v>4.2</v>
      </c>
      <c r="W609">
        <v>15.926666669999999</v>
      </c>
      <c r="X609">
        <v>108</v>
      </c>
      <c r="Y609">
        <v>4.2</v>
      </c>
      <c r="Z609">
        <v>18.253636360000002</v>
      </c>
      <c r="AA609">
        <v>182</v>
      </c>
      <c r="AB609">
        <v>3.8</v>
      </c>
      <c r="AC609">
        <v>19.329999999999998</v>
      </c>
      <c r="AD609">
        <v>339.9</v>
      </c>
      <c r="AE609">
        <f>Table1[[#This Row],[total_price]]/Table1[[#This Row],[qty]]</f>
        <v>347</v>
      </c>
      <c r="AF609">
        <f t="shared" si="9"/>
        <v>339.9</v>
      </c>
      <c r="AG609">
        <f>IF(ROW()=2, "", AVERAGE(D$2:D608))</f>
        <v>14.510708401976936</v>
      </c>
    </row>
    <row r="610" spans="1:33" x14ac:dyDescent="0.25">
      <c r="A610" t="s">
        <v>84</v>
      </c>
      <c r="B610" t="s">
        <v>55</v>
      </c>
      <c r="C610" s="1">
        <v>43103</v>
      </c>
      <c r="D610">
        <v>6</v>
      </c>
      <c r="E610">
        <v>1847</v>
      </c>
      <c r="F610">
        <v>18.223333329999999</v>
      </c>
      <c r="G610">
        <v>307.83333329999999</v>
      </c>
      <c r="H610">
        <v>46</v>
      </c>
      <c r="I610">
        <v>501</v>
      </c>
      <c r="J610">
        <v>4</v>
      </c>
      <c r="K610">
        <v>363</v>
      </c>
      <c r="L610">
        <v>3.7</v>
      </c>
      <c r="M610">
        <v>125</v>
      </c>
      <c r="N610">
        <v>22</v>
      </c>
      <c r="O610">
        <v>9</v>
      </c>
      <c r="P610">
        <v>1</v>
      </c>
      <c r="Q610">
        <v>3</v>
      </c>
      <c r="R610">
        <v>2018</v>
      </c>
      <c r="S610">
        <v>6.6666666670000003</v>
      </c>
      <c r="T610">
        <v>3042</v>
      </c>
      <c r="U610">
        <v>117.44129030000001</v>
      </c>
      <c r="V610">
        <v>4.2</v>
      </c>
      <c r="W610">
        <v>18.261290320000001</v>
      </c>
      <c r="X610">
        <v>105.6428571</v>
      </c>
      <c r="Y610">
        <v>4.2</v>
      </c>
      <c r="Z610">
        <v>21.6652381</v>
      </c>
      <c r="AA610">
        <v>151.87843749999999</v>
      </c>
      <c r="AB610">
        <v>3.8</v>
      </c>
      <c r="AC610">
        <v>20.313749999999999</v>
      </c>
      <c r="AD610">
        <v>347</v>
      </c>
      <c r="AE610">
        <f>Table1[[#This Row],[total_price]]/Table1[[#This Row],[qty]]</f>
        <v>307.83333333333331</v>
      </c>
      <c r="AF610">
        <f t="shared" si="9"/>
        <v>347</v>
      </c>
      <c r="AG610">
        <f>IF(ROW()=2, "", AVERAGE(D$2:D609))</f>
        <v>14.495065789473685</v>
      </c>
    </row>
    <row r="611" spans="1:33" x14ac:dyDescent="0.25">
      <c r="A611" t="s">
        <v>84</v>
      </c>
      <c r="B611" t="s">
        <v>55</v>
      </c>
      <c r="C611" s="1">
        <v>43104</v>
      </c>
      <c r="D611">
        <v>6</v>
      </c>
      <c r="E611">
        <v>1684</v>
      </c>
      <c r="F611">
        <v>18.168333329999999</v>
      </c>
      <c r="G611">
        <v>280.66666670000001</v>
      </c>
      <c r="H611">
        <v>46</v>
      </c>
      <c r="I611">
        <v>501</v>
      </c>
      <c r="J611">
        <v>4</v>
      </c>
      <c r="K611">
        <v>363</v>
      </c>
      <c r="L611">
        <v>3.7</v>
      </c>
      <c r="M611">
        <v>178</v>
      </c>
      <c r="N611">
        <v>21</v>
      </c>
      <c r="O611">
        <v>9</v>
      </c>
      <c r="P611">
        <v>1</v>
      </c>
      <c r="Q611">
        <v>4</v>
      </c>
      <c r="R611">
        <v>2018</v>
      </c>
      <c r="S611">
        <v>6.6666666670000003</v>
      </c>
      <c r="T611">
        <v>3042</v>
      </c>
      <c r="U611">
        <v>105.648625</v>
      </c>
      <c r="V611">
        <v>4.2</v>
      </c>
      <c r="W611">
        <v>2.1816470589999999</v>
      </c>
      <c r="X611">
        <v>105</v>
      </c>
      <c r="Y611">
        <v>4.2</v>
      </c>
      <c r="Z611">
        <v>13.631428570000001</v>
      </c>
      <c r="AA611">
        <v>150.1333333</v>
      </c>
      <c r="AB611">
        <v>3.8</v>
      </c>
      <c r="AC611">
        <v>19.447777779999999</v>
      </c>
      <c r="AD611">
        <v>307.83333329999999</v>
      </c>
      <c r="AE611">
        <f>Table1[[#This Row],[total_price]]/Table1[[#This Row],[qty]]</f>
        <v>280.66666666666669</v>
      </c>
      <c r="AF611">
        <f t="shared" si="9"/>
        <v>307.83333333333331</v>
      </c>
      <c r="AG611">
        <f>IF(ROW()=2, "", AVERAGE(D$2:D610))</f>
        <v>14.481116584564861</v>
      </c>
    </row>
    <row r="612" spans="1:33" x14ac:dyDescent="0.25">
      <c r="A612" t="s">
        <v>84</v>
      </c>
      <c r="B612" t="s">
        <v>55</v>
      </c>
      <c r="C612" s="1">
        <v>43105</v>
      </c>
      <c r="D612">
        <v>23</v>
      </c>
      <c r="E612">
        <v>5956.3</v>
      </c>
      <c r="F612">
        <v>13.631304350000001</v>
      </c>
      <c r="G612">
        <v>258.96956519999998</v>
      </c>
      <c r="H612">
        <v>46</v>
      </c>
      <c r="I612">
        <v>501</v>
      </c>
      <c r="J612">
        <v>4</v>
      </c>
      <c r="K612">
        <v>363</v>
      </c>
      <c r="L612">
        <v>3.7</v>
      </c>
      <c r="M612">
        <v>260</v>
      </c>
      <c r="N612">
        <v>23</v>
      </c>
      <c r="O612">
        <v>8</v>
      </c>
      <c r="P612">
        <v>3</v>
      </c>
      <c r="Q612">
        <v>5</v>
      </c>
      <c r="R612">
        <v>2018</v>
      </c>
      <c r="S612">
        <v>25.555555559999998</v>
      </c>
      <c r="T612">
        <v>3042</v>
      </c>
      <c r="U612">
        <v>103.79252339999999</v>
      </c>
      <c r="V612">
        <v>4.2</v>
      </c>
      <c r="W612">
        <v>9.5438596000000001E-2</v>
      </c>
      <c r="X612">
        <v>105</v>
      </c>
      <c r="Y612">
        <v>4.2</v>
      </c>
      <c r="Z612">
        <v>11.3772973</v>
      </c>
      <c r="AA612">
        <v>132.53125</v>
      </c>
      <c r="AB612">
        <v>3.8</v>
      </c>
      <c r="AC612">
        <v>15.7621875</v>
      </c>
      <c r="AD612">
        <v>280.66666670000001</v>
      </c>
      <c r="AE612">
        <f>Table1[[#This Row],[total_price]]/Table1[[#This Row],[qty]]</f>
        <v>258.96956521739133</v>
      </c>
      <c r="AF612">
        <f t="shared" si="9"/>
        <v>280.66666666666669</v>
      </c>
      <c r="AG612">
        <f>IF(ROW()=2, "", AVERAGE(D$2:D611))</f>
        <v>14.467213114754099</v>
      </c>
    </row>
    <row r="613" spans="1:33" x14ac:dyDescent="0.25">
      <c r="A613" t="s">
        <v>84</v>
      </c>
      <c r="B613" t="s">
        <v>55</v>
      </c>
      <c r="C613" s="1">
        <v>43106</v>
      </c>
      <c r="D613">
        <v>4</v>
      </c>
      <c r="E613">
        <v>983.6</v>
      </c>
      <c r="F613">
        <v>14.795</v>
      </c>
      <c r="G613">
        <v>245.9</v>
      </c>
      <c r="H613">
        <v>46</v>
      </c>
      <c r="I613">
        <v>501</v>
      </c>
      <c r="J613">
        <v>4</v>
      </c>
      <c r="K613">
        <v>363</v>
      </c>
      <c r="L613">
        <v>3.7</v>
      </c>
      <c r="M613">
        <v>93</v>
      </c>
      <c r="N613">
        <v>21</v>
      </c>
      <c r="O613">
        <v>9</v>
      </c>
      <c r="P613">
        <v>0</v>
      </c>
      <c r="Q613">
        <v>6</v>
      </c>
      <c r="R613">
        <v>2018</v>
      </c>
      <c r="S613">
        <v>4.4444444440000002</v>
      </c>
      <c r="T613">
        <v>3042</v>
      </c>
      <c r="U613">
        <v>119</v>
      </c>
      <c r="V613">
        <v>4.2</v>
      </c>
      <c r="W613">
        <v>19.206666670000001</v>
      </c>
      <c r="X613">
        <v>105</v>
      </c>
      <c r="Y613">
        <v>4.2</v>
      </c>
      <c r="Z613">
        <v>23.823571430000001</v>
      </c>
      <c r="AA613">
        <v>138.22</v>
      </c>
      <c r="AB613">
        <v>3.8</v>
      </c>
      <c r="AC613">
        <v>16.108000000000001</v>
      </c>
      <c r="AD613">
        <v>258.96956519999998</v>
      </c>
      <c r="AE613">
        <f>Table1[[#This Row],[total_price]]/Table1[[#This Row],[qty]]</f>
        <v>245.9</v>
      </c>
      <c r="AF613">
        <f t="shared" si="9"/>
        <v>258.96956521739133</v>
      </c>
      <c r="AG613">
        <f>IF(ROW()=2, "", AVERAGE(D$2:D612))</f>
        <v>14.481178396072012</v>
      </c>
    </row>
    <row r="614" spans="1:33" x14ac:dyDescent="0.25">
      <c r="A614" t="s">
        <v>84</v>
      </c>
      <c r="B614" t="s">
        <v>55</v>
      </c>
      <c r="C614" s="1">
        <v>43107</v>
      </c>
      <c r="D614">
        <v>45</v>
      </c>
      <c r="E614">
        <v>7651.27</v>
      </c>
      <c r="F614">
        <v>17.953555560000002</v>
      </c>
      <c r="G614">
        <v>169.3493182</v>
      </c>
      <c r="H614">
        <v>46</v>
      </c>
      <c r="I614">
        <v>501</v>
      </c>
      <c r="J614">
        <v>4</v>
      </c>
      <c r="K614">
        <v>363</v>
      </c>
      <c r="L614">
        <v>3.7</v>
      </c>
      <c r="M614">
        <v>122</v>
      </c>
      <c r="N614">
        <v>22</v>
      </c>
      <c r="O614">
        <v>9</v>
      </c>
      <c r="P614">
        <v>1</v>
      </c>
      <c r="Q614">
        <v>7</v>
      </c>
      <c r="R614">
        <v>2018</v>
      </c>
      <c r="S614">
        <v>50</v>
      </c>
      <c r="T614">
        <v>3042</v>
      </c>
      <c r="U614">
        <v>118.3636364</v>
      </c>
      <c r="V614">
        <v>4.2</v>
      </c>
      <c r="W614">
        <v>15.48</v>
      </c>
      <c r="X614">
        <v>105</v>
      </c>
      <c r="Y614">
        <v>4.2</v>
      </c>
      <c r="Z614">
        <v>24.938749999999999</v>
      </c>
      <c r="AA614">
        <v>155</v>
      </c>
      <c r="AB614">
        <v>3.8</v>
      </c>
      <c r="AC614">
        <v>16.47</v>
      </c>
      <c r="AD614">
        <v>245.9</v>
      </c>
      <c r="AE614">
        <f>Table1[[#This Row],[total_price]]/Table1[[#This Row],[qty]]</f>
        <v>170.02822222222224</v>
      </c>
      <c r="AF614">
        <f t="shared" si="9"/>
        <v>245.9</v>
      </c>
      <c r="AG614">
        <f>IF(ROW()=2, "", AVERAGE(D$2:D613))</f>
        <v>14.464052287581699</v>
      </c>
    </row>
    <row r="615" spans="1:33" x14ac:dyDescent="0.25">
      <c r="A615" t="s">
        <v>85</v>
      </c>
      <c r="B615" t="s">
        <v>48</v>
      </c>
      <c r="C615" s="1">
        <v>42740</v>
      </c>
      <c r="D615">
        <v>15</v>
      </c>
      <c r="E615">
        <v>2715.7</v>
      </c>
      <c r="F615">
        <v>18.754666669999999</v>
      </c>
      <c r="G615">
        <v>178.0571429</v>
      </c>
      <c r="H615">
        <v>42</v>
      </c>
      <c r="I615">
        <v>363</v>
      </c>
      <c r="J615">
        <v>1</v>
      </c>
      <c r="K615">
        <v>922</v>
      </c>
      <c r="L615">
        <v>4.2</v>
      </c>
      <c r="M615">
        <v>11</v>
      </c>
      <c r="N615">
        <v>23</v>
      </c>
      <c r="O615">
        <v>8</v>
      </c>
      <c r="P615">
        <v>1</v>
      </c>
      <c r="Q615">
        <v>5</v>
      </c>
      <c r="R615">
        <v>2017</v>
      </c>
      <c r="S615">
        <v>15.78947368</v>
      </c>
      <c r="T615">
        <v>7650</v>
      </c>
      <c r="U615">
        <v>178.0571429</v>
      </c>
      <c r="V615">
        <v>4.2</v>
      </c>
      <c r="W615">
        <v>18.754666669999999</v>
      </c>
      <c r="X615">
        <v>178.0571429</v>
      </c>
      <c r="Y615">
        <v>4.2</v>
      </c>
      <c r="Z615">
        <v>18.754666669999999</v>
      </c>
      <c r="AA615">
        <v>178.0571429</v>
      </c>
      <c r="AB615">
        <v>4.2</v>
      </c>
      <c r="AC615">
        <v>18.754666669999999</v>
      </c>
      <c r="AD615">
        <v>178.00714289999999</v>
      </c>
      <c r="AE615">
        <f>Table1[[#This Row],[total_price]]/Table1[[#This Row],[qty]]</f>
        <v>181.04666666666665</v>
      </c>
      <c r="AF615" t="str">
        <f t="shared" si="9"/>
        <v/>
      </c>
      <c r="AG615">
        <f>IF(ROW()=2, "", AVERAGE(D$2:D614))</f>
        <v>14.513866231647635</v>
      </c>
    </row>
    <row r="616" spans="1:33" x14ac:dyDescent="0.25">
      <c r="A616" t="s">
        <v>85</v>
      </c>
      <c r="B616" t="s">
        <v>48</v>
      </c>
      <c r="C616" s="1">
        <v>42741</v>
      </c>
      <c r="D616">
        <v>15</v>
      </c>
      <c r="E616">
        <v>2247.7199999999998</v>
      </c>
      <c r="F616">
        <v>21.70066667</v>
      </c>
      <c r="G616">
        <v>149.85249999999999</v>
      </c>
      <c r="H616">
        <v>42</v>
      </c>
      <c r="I616">
        <v>363</v>
      </c>
      <c r="J616">
        <v>1</v>
      </c>
      <c r="K616">
        <v>922</v>
      </c>
      <c r="L616">
        <v>4.2</v>
      </c>
      <c r="M616">
        <v>15</v>
      </c>
      <c r="N616">
        <v>22</v>
      </c>
      <c r="O616">
        <v>8</v>
      </c>
      <c r="P616">
        <v>1</v>
      </c>
      <c r="Q616">
        <v>6</v>
      </c>
      <c r="R616">
        <v>2017</v>
      </c>
      <c r="S616">
        <v>15.78947368</v>
      </c>
      <c r="T616">
        <v>7650</v>
      </c>
      <c r="U616">
        <v>159.99</v>
      </c>
      <c r="V616">
        <v>4.2</v>
      </c>
      <c r="W616">
        <v>42.033333329999998</v>
      </c>
      <c r="X616">
        <v>149.85249999999999</v>
      </c>
      <c r="Y616">
        <v>4.2</v>
      </c>
      <c r="Z616">
        <v>21.70066667</v>
      </c>
      <c r="AA616">
        <v>149.85249999999999</v>
      </c>
      <c r="AB616">
        <v>4.2</v>
      </c>
      <c r="AC616">
        <v>21.70066667</v>
      </c>
      <c r="AD616">
        <v>178.0571429</v>
      </c>
      <c r="AE616">
        <f>Table1[[#This Row],[total_price]]/Table1[[#This Row],[qty]]</f>
        <v>149.84799999999998</v>
      </c>
      <c r="AF616">
        <f t="shared" si="9"/>
        <v>181.04666666666665</v>
      </c>
      <c r="AG616">
        <f>IF(ROW()=2, "", AVERAGE(D$2:D615))</f>
        <v>14.514657980456025</v>
      </c>
    </row>
    <row r="617" spans="1:33" x14ac:dyDescent="0.25">
      <c r="A617" t="s">
        <v>85</v>
      </c>
      <c r="B617" t="s">
        <v>48</v>
      </c>
      <c r="C617" s="1">
        <v>42742</v>
      </c>
      <c r="D617">
        <v>4</v>
      </c>
      <c r="E617">
        <v>584.77</v>
      </c>
      <c r="F617">
        <v>18.27</v>
      </c>
      <c r="G617">
        <v>146.6</v>
      </c>
      <c r="H617">
        <v>42</v>
      </c>
      <c r="I617">
        <v>363</v>
      </c>
      <c r="J617">
        <v>1</v>
      </c>
      <c r="K617">
        <v>922</v>
      </c>
      <c r="L617">
        <v>4.2</v>
      </c>
      <c r="M617">
        <v>17</v>
      </c>
      <c r="N617">
        <v>21</v>
      </c>
      <c r="O617">
        <v>10</v>
      </c>
      <c r="P617">
        <v>1</v>
      </c>
      <c r="Q617">
        <v>7</v>
      </c>
      <c r="R617">
        <v>2017</v>
      </c>
      <c r="S617">
        <v>4.2105263160000002</v>
      </c>
      <c r="T617">
        <v>7650</v>
      </c>
      <c r="U617">
        <v>139.99</v>
      </c>
      <c r="V617">
        <v>4.2</v>
      </c>
      <c r="W617">
        <v>48.108333330000001</v>
      </c>
      <c r="X617">
        <v>146.6</v>
      </c>
      <c r="Y617">
        <v>4.2</v>
      </c>
      <c r="Z617">
        <v>18.27</v>
      </c>
      <c r="AA617">
        <v>146.6</v>
      </c>
      <c r="AB617">
        <v>4.2</v>
      </c>
      <c r="AC617">
        <v>18.27</v>
      </c>
      <c r="AD617">
        <v>149.85249999999999</v>
      </c>
      <c r="AE617">
        <f>Table1[[#This Row],[total_price]]/Table1[[#This Row],[qty]]</f>
        <v>146.1925</v>
      </c>
      <c r="AF617">
        <f t="shared" si="9"/>
        <v>149.84799999999998</v>
      </c>
      <c r="AG617">
        <f>IF(ROW()=2, "", AVERAGE(D$2:D616))</f>
        <v>14.515447154471545</v>
      </c>
    </row>
    <row r="618" spans="1:33" x14ac:dyDescent="0.25">
      <c r="A618" t="s">
        <v>85</v>
      </c>
      <c r="B618" t="s">
        <v>48</v>
      </c>
      <c r="C618" s="1">
        <v>42743</v>
      </c>
      <c r="D618">
        <v>13</v>
      </c>
      <c r="E618">
        <v>1884.45</v>
      </c>
      <c r="F618">
        <v>19.285384619999999</v>
      </c>
      <c r="G618">
        <v>144.96</v>
      </c>
      <c r="H618">
        <v>42</v>
      </c>
      <c r="I618">
        <v>363</v>
      </c>
      <c r="J618">
        <v>1</v>
      </c>
      <c r="K618">
        <v>922</v>
      </c>
      <c r="L618">
        <v>4.2</v>
      </c>
      <c r="M618">
        <v>15</v>
      </c>
      <c r="N618">
        <v>23</v>
      </c>
      <c r="O618">
        <v>8</v>
      </c>
      <c r="P618">
        <v>1</v>
      </c>
      <c r="Q618">
        <v>8</v>
      </c>
      <c r="R618">
        <v>2017</v>
      </c>
      <c r="S618">
        <v>13.68421053</v>
      </c>
      <c r="T618">
        <v>7650</v>
      </c>
      <c r="U618">
        <v>145.70428570000001</v>
      </c>
      <c r="V618">
        <v>4.2</v>
      </c>
      <c r="W618">
        <v>36.46</v>
      </c>
      <c r="X618">
        <v>144.96</v>
      </c>
      <c r="Y618">
        <v>4.2</v>
      </c>
      <c r="Z618">
        <v>19.285384619999999</v>
      </c>
      <c r="AA618">
        <v>144.96</v>
      </c>
      <c r="AB618">
        <v>4.2</v>
      </c>
      <c r="AC618">
        <v>19.285384619999999</v>
      </c>
      <c r="AD618">
        <v>146.6</v>
      </c>
      <c r="AE618">
        <f>Table1[[#This Row],[total_price]]/Table1[[#This Row],[qty]]</f>
        <v>144.9576923076923</v>
      </c>
      <c r="AF618">
        <f t="shared" si="9"/>
        <v>146.1925</v>
      </c>
      <c r="AG618">
        <f>IF(ROW()=2, "", AVERAGE(D$2:D617))</f>
        <v>14.498376623376624</v>
      </c>
    </row>
    <row r="619" spans="1:33" x14ac:dyDescent="0.25">
      <c r="A619" t="s">
        <v>85</v>
      </c>
      <c r="B619" t="s">
        <v>48</v>
      </c>
      <c r="C619" s="1">
        <v>42744</v>
      </c>
      <c r="D619">
        <v>12</v>
      </c>
      <c r="E619">
        <v>1656.87</v>
      </c>
      <c r="F619">
        <v>35.922499999999999</v>
      </c>
      <c r="G619">
        <v>138.59</v>
      </c>
      <c r="H619">
        <v>42</v>
      </c>
      <c r="I619">
        <v>363</v>
      </c>
      <c r="J619">
        <v>1</v>
      </c>
      <c r="K619">
        <v>922</v>
      </c>
      <c r="L619">
        <v>4.2</v>
      </c>
      <c r="M619">
        <v>15</v>
      </c>
      <c r="N619">
        <v>21</v>
      </c>
      <c r="O619">
        <v>9</v>
      </c>
      <c r="P619">
        <v>1</v>
      </c>
      <c r="Q619">
        <v>9</v>
      </c>
      <c r="R619">
        <v>2017</v>
      </c>
      <c r="S619">
        <v>12.63157895</v>
      </c>
      <c r="T619">
        <v>7650</v>
      </c>
      <c r="U619">
        <v>151.99</v>
      </c>
      <c r="V619">
        <v>4.2</v>
      </c>
      <c r="W619">
        <v>43.72272727</v>
      </c>
      <c r="X619">
        <v>138.59</v>
      </c>
      <c r="Y619">
        <v>4.2</v>
      </c>
      <c r="Z619">
        <v>35.922499999999999</v>
      </c>
      <c r="AA619">
        <v>138.59</v>
      </c>
      <c r="AB619">
        <v>4.2</v>
      </c>
      <c r="AC619">
        <v>35.922499999999999</v>
      </c>
      <c r="AD619">
        <v>144.96</v>
      </c>
      <c r="AE619">
        <f>Table1[[#This Row],[total_price]]/Table1[[#This Row],[qty]]</f>
        <v>138.07249999999999</v>
      </c>
      <c r="AF619">
        <f t="shared" si="9"/>
        <v>144.9576923076923</v>
      </c>
      <c r="AG619">
        <f>IF(ROW()=2, "", AVERAGE(D$2:D618))</f>
        <v>14.495948136142626</v>
      </c>
    </row>
    <row r="620" spans="1:33" x14ac:dyDescent="0.25">
      <c r="A620" t="s">
        <v>85</v>
      </c>
      <c r="B620" t="s">
        <v>48</v>
      </c>
      <c r="C620" s="1">
        <v>42745</v>
      </c>
      <c r="D620">
        <v>16</v>
      </c>
      <c r="E620">
        <v>2206.4</v>
      </c>
      <c r="F620">
        <v>36.021875000000001</v>
      </c>
      <c r="G620">
        <v>137.9</v>
      </c>
      <c r="H620">
        <v>42</v>
      </c>
      <c r="I620">
        <v>363</v>
      </c>
      <c r="J620">
        <v>1</v>
      </c>
      <c r="K620">
        <v>922</v>
      </c>
      <c r="L620">
        <v>4.2</v>
      </c>
      <c r="M620">
        <v>31</v>
      </c>
      <c r="N620">
        <v>22</v>
      </c>
      <c r="O620">
        <v>9</v>
      </c>
      <c r="P620">
        <v>2</v>
      </c>
      <c r="Q620">
        <v>10</v>
      </c>
      <c r="R620">
        <v>2017</v>
      </c>
      <c r="S620">
        <v>16.84210526</v>
      </c>
      <c r="T620">
        <v>7650</v>
      </c>
      <c r="U620">
        <v>154.69588239999999</v>
      </c>
      <c r="V620">
        <v>4.2</v>
      </c>
      <c r="W620">
        <v>43.88117647</v>
      </c>
      <c r="X620">
        <v>137.9</v>
      </c>
      <c r="Y620">
        <v>4.2</v>
      </c>
      <c r="Z620">
        <v>36.021875000000001</v>
      </c>
      <c r="AA620">
        <v>137.9</v>
      </c>
      <c r="AB620">
        <v>4.2</v>
      </c>
      <c r="AC620">
        <v>36.021875000000001</v>
      </c>
      <c r="AD620">
        <v>138.59</v>
      </c>
      <c r="AE620">
        <f>Table1[[#This Row],[total_price]]/Table1[[#This Row],[qty]]</f>
        <v>137.9</v>
      </c>
      <c r="AF620">
        <f t="shared" si="9"/>
        <v>138.07249999999999</v>
      </c>
      <c r="AG620">
        <f>IF(ROW()=2, "", AVERAGE(D$2:D619))</f>
        <v>14.491909385113269</v>
      </c>
    </row>
    <row r="621" spans="1:33" x14ac:dyDescent="0.25">
      <c r="A621" t="s">
        <v>85</v>
      </c>
      <c r="B621" t="s">
        <v>48</v>
      </c>
      <c r="C621" s="1">
        <v>42746</v>
      </c>
      <c r="D621">
        <v>18</v>
      </c>
      <c r="E621">
        <v>2482.1999999999998</v>
      </c>
      <c r="F621">
        <v>39.398888890000002</v>
      </c>
      <c r="G621">
        <v>137.9</v>
      </c>
      <c r="H621">
        <v>42</v>
      </c>
      <c r="I621">
        <v>363</v>
      </c>
      <c r="J621">
        <v>1</v>
      </c>
      <c r="K621">
        <v>922</v>
      </c>
      <c r="L621">
        <v>4.2</v>
      </c>
      <c r="M621">
        <v>36</v>
      </c>
      <c r="N621">
        <v>22</v>
      </c>
      <c r="O621">
        <v>8</v>
      </c>
      <c r="P621">
        <v>4</v>
      </c>
      <c r="Q621">
        <v>11</v>
      </c>
      <c r="R621">
        <v>2017</v>
      </c>
      <c r="S621">
        <v>18.94736842</v>
      </c>
      <c r="T621">
        <v>7650</v>
      </c>
      <c r="U621">
        <v>149.99</v>
      </c>
      <c r="V621">
        <v>4.2</v>
      </c>
      <c r="W621">
        <v>42.517222220000001</v>
      </c>
      <c r="X621">
        <v>137.9</v>
      </c>
      <c r="Y621">
        <v>4.2</v>
      </c>
      <c r="Z621">
        <v>39.398888890000002</v>
      </c>
      <c r="AA621">
        <v>109.9</v>
      </c>
      <c r="AB621">
        <v>3.5</v>
      </c>
      <c r="AC621">
        <v>15.52</v>
      </c>
      <c r="AD621">
        <v>137.9</v>
      </c>
      <c r="AE621">
        <f>Table1[[#This Row],[total_price]]/Table1[[#This Row],[qty]]</f>
        <v>137.89999999999998</v>
      </c>
      <c r="AF621">
        <f t="shared" si="9"/>
        <v>137.9</v>
      </c>
      <c r="AG621">
        <f>IF(ROW()=2, "", AVERAGE(D$2:D620))</f>
        <v>14.494345718901455</v>
      </c>
    </row>
    <row r="622" spans="1:33" x14ac:dyDescent="0.25">
      <c r="A622" t="s">
        <v>85</v>
      </c>
      <c r="B622" t="s">
        <v>48</v>
      </c>
      <c r="C622" s="1">
        <v>42747</v>
      </c>
      <c r="D622">
        <v>2</v>
      </c>
      <c r="E622">
        <v>269.8</v>
      </c>
      <c r="F622">
        <v>38.78</v>
      </c>
      <c r="G622">
        <v>134.9</v>
      </c>
      <c r="H622">
        <v>42</v>
      </c>
      <c r="I622">
        <v>363</v>
      </c>
      <c r="J622">
        <v>1</v>
      </c>
      <c r="K622">
        <v>922</v>
      </c>
      <c r="L622">
        <v>4.2</v>
      </c>
      <c r="M622">
        <v>35</v>
      </c>
      <c r="N622">
        <v>21</v>
      </c>
      <c r="O622">
        <v>10</v>
      </c>
      <c r="P622">
        <v>1</v>
      </c>
      <c r="Q622">
        <v>12</v>
      </c>
      <c r="R622">
        <v>2017</v>
      </c>
      <c r="S622">
        <v>2.1052631580000001</v>
      </c>
      <c r="T622">
        <v>7650</v>
      </c>
      <c r="U622">
        <v>149.99</v>
      </c>
      <c r="V622">
        <v>4.2</v>
      </c>
      <c r="W622">
        <v>38.57</v>
      </c>
      <c r="X622">
        <v>134.9</v>
      </c>
      <c r="Y622">
        <v>4.2</v>
      </c>
      <c r="Z622">
        <v>38.78</v>
      </c>
      <c r="AA622">
        <v>109.9</v>
      </c>
      <c r="AB622">
        <v>3.5</v>
      </c>
      <c r="AC622">
        <v>25.249166670000001</v>
      </c>
      <c r="AD622">
        <v>137.9</v>
      </c>
      <c r="AE622">
        <f>Table1[[#This Row],[total_price]]/Table1[[#This Row],[qty]]</f>
        <v>134.9</v>
      </c>
      <c r="AF622">
        <f t="shared" si="9"/>
        <v>137.89999999999998</v>
      </c>
      <c r="AG622">
        <f>IF(ROW()=2, "", AVERAGE(D$2:D621))</f>
        <v>14.5</v>
      </c>
    </row>
    <row r="623" spans="1:33" x14ac:dyDescent="0.25">
      <c r="A623" t="s">
        <v>85</v>
      </c>
      <c r="B623" t="s">
        <v>48</v>
      </c>
      <c r="C623" s="1">
        <v>43101</v>
      </c>
      <c r="D623">
        <v>5</v>
      </c>
      <c r="E623">
        <v>665</v>
      </c>
      <c r="F623">
        <v>38.043999999999997</v>
      </c>
      <c r="G623">
        <v>133</v>
      </c>
      <c r="H623">
        <v>42</v>
      </c>
      <c r="I623">
        <v>363</v>
      </c>
      <c r="J623">
        <v>1</v>
      </c>
      <c r="K623">
        <v>922</v>
      </c>
      <c r="L623">
        <v>4.2</v>
      </c>
      <c r="M623">
        <v>152</v>
      </c>
      <c r="N623">
        <v>23</v>
      </c>
      <c r="O623">
        <v>8</v>
      </c>
      <c r="P623">
        <v>2</v>
      </c>
      <c r="Q623">
        <v>1</v>
      </c>
      <c r="R623">
        <v>2018</v>
      </c>
      <c r="S623">
        <v>62.5</v>
      </c>
      <c r="T623">
        <v>7650</v>
      </c>
      <c r="U623">
        <v>156.5113514</v>
      </c>
      <c r="V623">
        <v>4.2</v>
      </c>
      <c r="W623">
        <v>36.807209299999997</v>
      </c>
      <c r="X623">
        <v>150.3545455</v>
      </c>
      <c r="Y623">
        <v>4.3</v>
      </c>
      <c r="Z623">
        <v>22.547727269999999</v>
      </c>
      <c r="AA623">
        <v>97.642499999999998</v>
      </c>
      <c r="AB623">
        <v>3.5</v>
      </c>
      <c r="AC623">
        <v>14.846551720000001</v>
      </c>
      <c r="AD623">
        <v>134.9</v>
      </c>
      <c r="AE623">
        <f>Table1[[#This Row],[total_price]]/Table1[[#This Row],[qty]]</f>
        <v>133</v>
      </c>
      <c r="AF623">
        <f t="shared" si="9"/>
        <v>134.9</v>
      </c>
      <c r="AG623">
        <f>IF(ROW()=2, "", AVERAGE(D$2:D622))</f>
        <v>14.47987117552335</v>
      </c>
    </row>
    <row r="624" spans="1:33" x14ac:dyDescent="0.25">
      <c r="A624" t="s">
        <v>85</v>
      </c>
      <c r="B624" t="s">
        <v>48</v>
      </c>
      <c r="C624" s="1">
        <v>43102</v>
      </c>
      <c r="D624">
        <v>3</v>
      </c>
      <c r="E624">
        <v>398.91</v>
      </c>
      <c r="F624">
        <v>14.596666669999999</v>
      </c>
      <c r="G624">
        <v>132.97</v>
      </c>
      <c r="H624">
        <v>42</v>
      </c>
      <c r="I624">
        <v>363</v>
      </c>
      <c r="J624">
        <v>1</v>
      </c>
      <c r="K624">
        <v>922</v>
      </c>
      <c r="L624">
        <v>4.2</v>
      </c>
      <c r="M624">
        <v>202</v>
      </c>
      <c r="N624">
        <v>20</v>
      </c>
      <c r="O624">
        <v>8</v>
      </c>
      <c r="P624">
        <v>2</v>
      </c>
      <c r="Q624">
        <v>2</v>
      </c>
      <c r="R624">
        <v>2018</v>
      </c>
      <c r="S624">
        <v>37.5</v>
      </c>
      <c r="T624">
        <v>7650</v>
      </c>
      <c r="U624">
        <v>149</v>
      </c>
      <c r="V624">
        <v>4.2</v>
      </c>
      <c r="W624">
        <v>41.16322581</v>
      </c>
      <c r="X624">
        <v>149.9</v>
      </c>
      <c r="Y624">
        <v>4.3</v>
      </c>
      <c r="Z624">
        <v>26.552898549999998</v>
      </c>
      <c r="AA624">
        <v>78.712280699999994</v>
      </c>
      <c r="AB624">
        <v>3.5</v>
      </c>
      <c r="AC624">
        <v>14.535915490000001</v>
      </c>
      <c r="AD624">
        <v>133</v>
      </c>
      <c r="AE624">
        <f>Table1[[#This Row],[total_price]]/Table1[[#This Row],[qty]]</f>
        <v>132.97</v>
      </c>
      <c r="AF624">
        <f t="shared" si="9"/>
        <v>133</v>
      </c>
      <c r="AG624">
        <f>IF(ROW()=2, "", AVERAGE(D$2:D623))</f>
        <v>14.464630225080386</v>
      </c>
    </row>
    <row r="625" spans="1:33" x14ac:dyDescent="0.25">
      <c r="A625" t="s">
        <v>86</v>
      </c>
      <c r="B625" t="s">
        <v>38</v>
      </c>
      <c r="C625" s="1">
        <v>42745</v>
      </c>
      <c r="D625">
        <v>1</v>
      </c>
      <c r="E625">
        <v>29.9</v>
      </c>
      <c r="F625">
        <v>11.85</v>
      </c>
      <c r="G625">
        <v>29.9</v>
      </c>
      <c r="H625">
        <v>55</v>
      </c>
      <c r="I625">
        <v>388</v>
      </c>
      <c r="J625">
        <v>1</v>
      </c>
      <c r="K625">
        <v>250</v>
      </c>
      <c r="L625">
        <v>4.5</v>
      </c>
      <c r="M625">
        <v>81</v>
      </c>
      <c r="N625">
        <v>22</v>
      </c>
      <c r="O625">
        <v>9</v>
      </c>
      <c r="P625">
        <v>2</v>
      </c>
      <c r="Q625">
        <v>10</v>
      </c>
      <c r="R625">
        <v>2017</v>
      </c>
      <c r="S625">
        <v>7.692307692</v>
      </c>
      <c r="T625">
        <v>1200</v>
      </c>
      <c r="U625">
        <v>23.99</v>
      </c>
      <c r="V625">
        <v>4.3</v>
      </c>
      <c r="W625">
        <v>13.13666667</v>
      </c>
      <c r="X625">
        <v>89.99</v>
      </c>
      <c r="Y625">
        <v>4.0999999999999996</v>
      </c>
      <c r="Z625">
        <v>16.56291667</v>
      </c>
      <c r="AA625">
        <v>58.99</v>
      </c>
      <c r="AB625">
        <v>3.9</v>
      </c>
      <c r="AC625">
        <v>19.065263160000001</v>
      </c>
      <c r="AD625">
        <v>29.85</v>
      </c>
      <c r="AE625">
        <f>Table1[[#This Row],[total_price]]/Table1[[#This Row],[qty]]</f>
        <v>29.9</v>
      </c>
      <c r="AF625" t="str">
        <f t="shared" si="9"/>
        <v/>
      </c>
      <c r="AG625">
        <f>IF(ROW()=2, "", AVERAGE(D$2:D624))</f>
        <v>14.446227929373997</v>
      </c>
    </row>
    <row r="626" spans="1:33" x14ac:dyDescent="0.25">
      <c r="A626" t="s">
        <v>86</v>
      </c>
      <c r="B626" t="s">
        <v>38</v>
      </c>
      <c r="C626" s="1">
        <v>42746</v>
      </c>
      <c r="D626">
        <v>6</v>
      </c>
      <c r="E626">
        <v>179.4</v>
      </c>
      <c r="F626">
        <v>12.51</v>
      </c>
      <c r="G626">
        <v>29.9</v>
      </c>
      <c r="H626">
        <v>55</v>
      </c>
      <c r="I626">
        <v>388</v>
      </c>
      <c r="J626">
        <v>1</v>
      </c>
      <c r="K626">
        <v>250</v>
      </c>
      <c r="L626">
        <v>4.5</v>
      </c>
      <c r="M626">
        <v>139</v>
      </c>
      <c r="N626">
        <v>22</v>
      </c>
      <c r="O626">
        <v>8</v>
      </c>
      <c r="P626">
        <v>4</v>
      </c>
      <c r="Q626">
        <v>11</v>
      </c>
      <c r="R626">
        <v>2017</v>
      </c>
      <c r="S626">
        <v>46.15384615</v>
      </c>
      <c r="T626">
        <v>1200</v>
      </c>
      <c r="U626">
        <v>23.99</v>
      </c>
      <c r="V626">
        <v>4.3</v>
      </c>
      <c r="W626">
        <v>12.37535714</v>
      </c>
      <c r="X626">
        <v>89.99</v>
      </c>
      <c r="Y626">
        <v>4.0999999999999996</v>
      </c>
      <c r="Z626">
        <v>16.99038462</v>
      </c>
      <c r="AA626">
        <v>58.99</v>
      </c>
      <c r="AB626">
        <v>3.9</v>
      </c>
      <c r="AC626">
        <v>15.71166667</v>
      </c>
      <c r="AD626">
        <v>29.9</v>
      </c>
      <c r="AE626">
        <f>Table1[[#This Row],[total_price]]/Table1[[#This Row],[qty]]</f>
        <v>29.900000000000002</v>
      </c>
      <c r="AF626">
        <f t="shared" si="9"/>
        <v>29.9</v>
      </c>
      <c r="AG626">
        <f>IF(ROW()=2, "", AVERAGE(D$2:D625))</f>
        <v>14.424679487179487</v>
      </c>
    </row>
    <row r="627" spans="1:33" x14ac:dyDescent="0.25">
      <c r="A627" t="s">
        <v>86</v>
      </c>
      <c r="B627" t="s">
        <v>38</v>
      </c>
      <c r="C627" s="1">
        <v>42747</v>
      </c>
      <c r="D627">
        <v>6</v>
      </c>
      <c r="E627">
        <v>179.4</v>
      </c>
      <c r="F627">
        <v>10.115</v>
      </c>
      <c r="G627">
        <v>29.9</v>
      </c>
      <c r="H627">
        <v>55</v>
      </c>
      <c r="I627">
        <v>388</v>
      </c>
      <c r="J627">
        <v>1</v>
      </c>
      <c r="K627">
        <v>250</v>
      </c>
      <c r="L627">
        <v>4.5</v>
      </c>
      <c r="M627">
        <v>112</v>
      </c>
      <c r="N627">
        <v>21</v>
      </c>
      <c r="O627">
        <v>10</v>
      </c>
      <c r="P627">
        <v>1</v>
      </c>
      <c r="Q627">
        <v>12</v>
      </c>
      <c r="R627">
        <v>2017</v>
      </c>
      <c r="S627">
        <v>46.15384615</v>
      </c>
      <c r="T627">
        <v>1200</v>
      </c>
      <c r="U627">
        <v>23.99</v>
      </c>
      <c r="V627">
        <v>4.3</v>
      </c>
      <c r="W627">
        <v>12.45684211</v>
      </c>
      <c r="X627">
        <v>89.99</v>
      </c>
      <c r="Y627">
        <v>4.0999999999999996</v>
      </c>
      <c r="Z627">
        <v>15.89473684</v>
      </c>
      <c r="AA627">
        <v>58.99</v>
      </c>
      <c r="AB627">
        <v>3.9</v>
      </c>
      <c r="AC627">
        <v>16.332222219999998</v>
      </c>
      <c r="AD627">
        <v>29.9</v>
      </c>
      <c r="AE627">
        <f>Table1[[#This Row],[total_price]]/Table1[[#This Row],[qty]]</f>
        <v>29.900000000000002</v>
      </c>
      <c r="AF627">
        <f t="shared" si="9"/>
        <v>29.900000000000002</v>
      </c>
      <c r="AG627">
        <f>IF(ROW()=2, "", AVERAGE(D$2:D626))</f>
        <v>14.411199999999999</v>
      </c>
    </row>
    <row r="628" spans="1:33" x14ac:dyDescent="0.25">
      <c r="A628" t="s">
        <v>86</v>
      </c>
      <c r="B628" t="s">
        <v>38</v>
      </c>
      <c r="C628" s="1">
        <v>43101</v>
      </c>
      <c r="D628">
        <v>15</v>
      </c>
      <c r="E628">
        <v>448.5</v>
      </c>
      <c r="F628">
        <v>9.5513333330000005</v>
      </c>
      <c r="G628">
        <v>29.9</v>
      </c>
      <c r="H628">
        <v>55</v>
      </c>
      <c r="I628">
        <v>388</v>
      </c>
      <c r="J628">
        <v>1</v>
      </c>
      <c r="K628">
        <v>250</v>
      </c>
      <c r="L628">
        <v>4.5</v>
      </c>
      <c r="M628">
        <v>98</v>
      </c>
      <c r="N628">
        <v>23</v>
      </c>
      <c r="O628">
        <v>8</v>
      </c>
      <c r="P628">
        <v>2</v>
      </c>
      <c r="Q628">
        <v>1</v>
      </c>
      <c r="R628">
        <v>2018</v>
      </c>
      <c r="S628">
        <v>12.09677419</v>
      </c>
      <c r="T628">
        <v>1200</v>
      </c>
      <c r="U628">
        <v>23.99</v>
      </c>
      <c r="V628">
        <v>4.3</v>
      </c>
      <c r="W628">
        <v>11.28736842</v>
      </c>
      <c r="X628">
        <v>89.99</v>
      </c>
      <c r="Y628">
        <v>4.0999999999999996</v>
      </c>
      <c r="Z628">
        <v>14.811</v>
      </c>
      <c r="AA628">
        <v>58.99</v>
      </c>
      <c r="AB628">
        <v>3.9</v>
      </c>
      <c r="AC628">
        <v>22.678333330000001</v>
      </c>
      <c r="AD628">
        <v>29.9</v>
      </c>
      <c r="AE628">
        <f>Table1[[#This Row],[total_price]]/Table1[[#This Row],[qty]]</f>
        <v>29.9</v>
      </c>
      <c r="AF628">
        <f t="shared" si="9"/>
        <v>29.900000000000002</v>
      </c>
      <c r="AG628">
        <f>IF(ROW()=2, "", AVERAGE(D$2:D627))</f>
        <v>14.397763578274761</v>
      </c>
    </row>
    <row r="629" spans="1:33" x14ac:dyDescent="0.25">
      <c r="A629" t="s">
        <v>86</v>
      </c>
      <c r="B629" t="s">
        <v>38</v>
      </c>
      <c r="C629" s="1">
        <v>43102</v>
      </c>
      <c r="D629">
        <v>16</v>
      </c>
      <c r="E629">
        <v>478.4</v>
      </c>
      <c r="F629">
        <v>10.09125</v>
      </c>
      <c r="G629">
        <v>29.9</v>
      </c>
      <c r="H629">
        <v>55</v>
      </c>
      <c r="I629">
        <v>388</v>
      </c>
      <c r="J629">
        <v>1</v>
      </c>
      <c r="K629">
        <v>250</v>
      </c>
      <c r="L629">
        <v>4.5</v>
      </c>
      <c r="M629">
        <v>126</v>
      </c>
      <c r="N629">
        <v>20</v>
      </c>
      <c r="O629">
        <v>8</v>
      </c>
      <c r="P629">
        <v>2</v>
      </c>
      <c r="Q629">
        <v>2</v>
      </c>
      <c r="R629">
        <v>2018</v>
      </c>
      <c r="S629">
        <v>12.90322581</v>
      </c>
      <c r="T629">
        <v>1200</v>
      </c>
      <c r="U629">
        <v>23.99</v>
      </c>
      <c r="V629">
        <v>4.3</v>
      </c>
      <c r="W629">
        <v>12.55</v>
      </c>
      <c r="X629">
        <v>89.99</v>
      </c>
      <c r="Y629">
        <v>4.0999999999999996</v>
      </c>
      <c r="Z629">
        <v>16.307647060000001</v>
      </c>
      <c r="AA629">
        <v>58.99</v>
      </c>
      <c r="AB629">
        <v>3.9</v>
      </c>
      <c r="AC629">
        <v>19.574999999999999</v>
      </c>
      <c r="AD629">
        <v>29.9</v>
      </c>
      <c r="AE629">
        <f>Table1[[#This Row],[total_price]]/Table1[[#This Row],[qty]]</f>
        <v>29.9</v>
      </c>
      <c r="AF629">
        <f t="shared" si="9"/>
        <v>29.9</v>
      </c>
      <c r="AG629">
        <f>IF(ROW()=2, "", AVERAGE(D$2:D628))</f>
        <v>14.39872408293461</v>
      </c>
    </row>
    <row r="630" spans="1:33" x14ac:dyDescent="0.25">
      <c r="A630" t="s">
        <v>86</v>
      </c>
      <c r="B630" t="s">
        <v>38</v>
      </c>
      <c r="C630" s="1">
        <v>43103</v>
      </c>
      <c r="D630">
        <v>11</v>
      </c>
      <c r="E630">
        <v>328.9</v>
      </c>
      <c r="F630">
        <v>11.43454545</v>
      </c>
      <c r="G630">
        <v>29.9</v>
      </c>
      <c r="H630">
        <v>55</v>
      </c>
      <c r="I630">
        <v>388</v>
      </c>
      <c r="J630">
        <v>1</v>
      </c>
      <c r="K630">
        <v>250</v>
      </c>
      <c r="L630">
        <v>4.5</v>
      </c>
      <c r="M630">
        <v>169</v>
      </c>
      <c r="N630">
        <v>22</v>
      </c>
      <c r="O630">
        <v>9</v>
      </c>
      <c r="P630">
        <v>1</v>
      </c>
      <c r="Q630">
        <v>3</v>
      </c>
      <c r="R630">
        <v>2018</v>
      </c>
      <c r="S630">
        <v>8.8709677419999995</v>
      </c>
      <c r="T630">
        <v>1200</v>
      </c>
      <c r="U630">
        <v>23.99</v>
      </c>
      <c r="V630">
        <v>4.3</v>
      </c>
      <c r="W630">
        <v>14.19875</v>
      </c>
      <c r="X630">
        <v>83.74</v>
      </c>
      <c r="Y630">
        <v>4.0999999999999996</v>
      </c>
      <c r="Z630">
        <v>11.876875</v>
      </c>
      <c r="AA630">
        <v>58.99</v>
      </c>
      <c r="AB630">
        <v>3.9</v>
      </c>
      <c r="AC630">
        <v>15.228</v>
      </c>
      <c r="AD630">
        <v>29.9</v>
      </c>
      <c r="AE630">
        <f>Table1[[#This Row],[total_price]]/Table1[[#This Row],[qty]]</f>
        <v>29.9</v>
      </c>
      <c r="AF630">
        <f t="shared" si="9"/>
        <v>29.9</v>
      </c>
      <c r="AG630">
        <f>IF(ROW()=2, "", AVERAGE(D$2:D629))</f>
        <v>14.401273885350319</v>
      </c>
    </row>
    <row r="631" spans="1:33" x14ac:dyDescent="0.25">
      <c r="A631" t="s">
        <v>86</v>
      </c>
      <c r="B631" t="s">
        <v>38</v>
      </c>
      <c r="C631" s="1">
        <v>43104</v>
      </c>
      <c r="D631">
        <v>22</v>
      </c>
      <c r="E631">
        <v>657.8</v>
      </c>
      <c r="F631">
        <v>10.10318182</v>
      </c>
      <c r="G631">
        <v>29.9</v>
      </c>
      <c r="H631">
        <v>55</v>
      </c>
      <c r="I631">
        <v>388</v>
      </c>
      <c r="J631">
        <v>1</v>
      </c>
      <c r="K631">
        <v>250</v>
      </c>
      <c r="L631">
        <v>4.5</v>
      </c>
      <c r="M631">
        <v>118</v>
      </c>
      <c r="N631">
        <v>21</v>
      </c>
      <c r="O631">
        <v>9</v>
      </c>
      <c r="P631">
        <v>1</v>
      </c>
      <c r="Q631">
        <v>4</v>
      </c>
      <c r="R631">
        <v>2018</v>
      </c>
      <c r="S631">
        <v>17.741935479999999</v>
      </c>
      <c r="T631">
        <v>1200</v>
      </c>
      <c r="U631">
        <v>29.9</v>
      </c>
      <c r="V631">
        <v>4.5</v>
      </c>
      <c r="W631">
        <v>10.10318182</v>
      </c>
      <c r="X631">
        <v>79.989999999999995</v>
      </c>
      <c r="Y631">
        <v>4.0999999999999996</v>
      </c>
      <c r="Z631">
        <v>14.484999999999999</v>
      </c>
      <c r="AA631">
        <v>58.99</v>
      </c>
      <c r="AB631">
        <v>3.9</v>
      </c>
      <c r="AC631">
        <v>16.302727269999998</v>
      </c>
      <c r="AD631">
        <v>29.9</v>
      </c>
      <c r="AE631">
        <f>Table1[[#This Row],[total_price]]/Table1[[#This Row],[qty]]</f>
        <v>29.9</v>
      </c>
      <c r="AF631">
        <f t="shared" si="9"/>
        <v>29.9</v>
      </c>
      <c r="AG631">
        <f>IF(ROW()=2, "", AVERAGE(D$2:D630))</f>
        <v>14.395866454689983</v>
      </c>
    </row>
    <row r="632" spans="1:33" x14ac:dyDescent="0.25">
      <c r="A632" t="s">
        <v>86</v>
      </c>
      <c r="B632" t="s">
        <v>38</v>
      </c>
      <c r="C632" s="1">
        <v>43105</v>
      </c>
      <c r="D632">
        <v>22</v>
      </c>
      <c r="E632">
        <v>657.8</v>
      </c>
      <c r="F632">
        <v>9.7727272729999992</v>
      </c>
      <c r="G632">
        <v>29.9</v>
      </c>
      <c r="H632">
        <v>55</v>
      </c>
      <c r="I632">
        <v>388</v>
      </c>
      <c r="J632">
        <v>1</v>
      </c>
      <c r="K632">
        <v>250</v>
      </c>
      <c r="L632">
        <v>4.5</v>
      </c>
      <c r="M632">
        <v>159</v>
      </c>
      <c r="N632">
        <v>23</v>
      </c>
      <c r="O632">
        <v>8</v>
      </c>
      <c r="P632">
        <v>3</v>
      </c>
      <c r="Q632">
        <v>5</v>
      </c>
      <c r="R632">
        <v>2018</v>
      </c>
      <c r="S632">
        <v>17.741935479999999</v>
      </c>
      <c r="T632">
        <v>1200</v>
      </c>
      <c r="U632">
        <v>23.99</v>
      </c>
      <c r="V632">
        <v>4.3</v>
      </c>
      <c r="W632">
        <v>7.9885714290000003</v>
      </c>
      <c r="X632">
        <v>79.989999999999995</v>
      </c>
      <c r="Y632">
        <v>4.0999999999999996</v>
      </c>
      <c r="Z632">
        <v>21.943124999999998</v>
      </c>
      <c r="AA632">
        <v>58.99</v>
      </c>
      <c r="AB632">
        <v>3.9</v>
      </c>
      <c r="AC632">
        <v>9.4224999999999994</v>
      </c>
      <c r="AD632">
        <v>29.9</v>
      </c>
      <c r="AE632">
        <f>Table1[[#This Row],[total_price]]/Table1[[#This Row],[qty]]</f>
        <v>29.9</v>
      </c>
      <c r="AF632">
        <f t="shared" si="9"/>
        <v>29.9</v>
      </c>
      <c r="AG632">
        <f>IF(ROW()=2, "", AVERAGE(D$2:D631))</f>
        <v>14.407936507936508</v>
      </c>
    </row>
    <row r="633" spans="1:33" x14ac:dyDescent="0.25">
      <c r="A633" t="s">
        <v>86</v>
      </c>
      <c r="B633" t="s">
        <v>38</v>
      </c>
      <c r="C633" s="1">
        <v>43106</v>
      </c>
      <c r="D633">
        <v>7</v>
      </c>
      <c r="E633">
        <v>209.3</v>
      </c>
      <c r="F633">
        <v>11.50285714</v>
      </c>
      <c r="G633">
        <v>29.9</v>
      </c>
      <c r="H633">
        <v>55</v>
      </c>
      <c r="I633">
        <v>388</v>
      </c>
      <c r="J633">
        <v>1</v>
      </c>
      <c r="K633">
        <v>250</v>
      </c>
      <c r="L633">
        <v>4.5</v>
      </c>
      <c r="M633">
        <v>131</v>
      </c>
      <c r="N633">
        <v>21</v>
      </c>
      <c r="O633">
        <v>9</v>
      </c>
      <c r="P633">
        <v>0</v>
      </c>
      <c r="Q633">
        <v>6</v>
      </c>
      <c r="R633">
        <v>2018</v>
      </c>
      <c r="S633">
        <v>5.6451612899999999</v>
      </c>
      <c r="T633">
        <v>1200</v>
      </c>
      <c r="U633">
        <v>23.99</v>
      </c>
      <c r="V633">
        <v>4.3</v>
      </c>
      <c r="W633">
        <v>16.27</v>
      </c>
      <c r="X633">
        <v>79.989999999999995</v>
      </c>
      <c r="Y633">
        <v>4.0999999999999996</v>
      </c>
      <c r="Z633">
        <v>13.36230769</v>
      </c>
      <c r="AA633">
        <v>58.99</v>
      </c>
      <c r="AB633">
        <v>3.9</v>
      </c>
      <c r="AC633">
        <v>16.43</v>
      </c>
      <c r="AD633">
        <v>29.9</v>
      </c>
      <c r="AE633">
        <f>Table1[[#This Row],[total_price]]/Table1[[#This Row],[qty]]</f>
        <v>29.900000000000002</v>
      </c>
      <c r="AF633">
        <f t="shared" si="9"/>
        <v>29.9</v>
      </c>
      <c r="AG633">
        <f>IF(ROW()=2, "", AVERAGE(D$2:D632))</f>
        <v>14.419968304278923</v>
      </c>
    </row>
    <row r="634" spans="1:33" x14ac:dyDescent="0.25">
      <c r="A634" t="s">
        <v>86</v>
      </c>
      <c r="B634" t="s">
        <v>38</v>
      </c>
      <c r="C634" s="1">
        <v>43107</v>
      </c>
      <c r="D634">
        <v>18</v>
      </c>
      <c r="E634">
        <v>538.20000000000005</v>
      </c>
      <c r="F634">
        <v>9.3655555560000003</v>
      </c>
      <c r="G634">
        <v>29.9</v>
      </c>
      <c r="H634">
        <v>55</v>
      </c>
      <c r="I634">
        <v>388</v>
      </c>
      <c r="J634">
        <v>1</v>
      </c>
      <c r="K634">
        <v>250</v>
      </c>
      <c r="L634">
        <v>4.5</v>
      </c>
      <c r="M634">
        <v>113</v>
      </c>
      <c r="N634">
        <v>22</v>
      </c>
      <c r="O634">
        <v>9</v>
      </c>
      <c r="P634">
        <v>1</v>
      </c>
      <c r="Q634">
        <v>7</v>
      </c>
      <c r="R634">
        <v>2018</v>
      </c>
      <c r="S634">
        <v>14.51612903</v>
      </c>
      <c r="T634">
        <v>1200</v>
      </c>
      <c r="U634">
        <v>23.99</v>
      </c>
      <c r="V634">
        <v>4.3</v>
      </c>
      <c r="W634">
        <v>18.809999999999999</v>
      </c>
      <c r="X634">
        <v>79.989999999999995</v>
      </c>
      <c r="Y634">
        <v>4.0999999999999996</v>
      </c>
      <c r="Z634">
        <v>16.745000000000001</v>
      </c>
      <c r="AA634">
        <v>58.99</v>
      </c>
      <c r="AB634">
        <v>3.9</v>
      </c>
      <c r="AC634">
        <v>7.67</v>
      </c>
      <c r="AD634">
        <v>29.9</v>
      </c>
      <c r="AE634">
        <f>Table1[[#This Row],[total_price]]/Table1[[#This Row],[qty]]</f>
        <v>29.900000000000002</v>
      </c>
      <c r="AF634">
        <f t="shared" si="9"/>
        <v>29.900000000000002</v>
      </c>
      <c r="AG634">
        <f>IF(ROW()=2, "", AVERAGE(D$2:D633))</f>
        <v>14.408227848101266</v>
      </c>
    </row>
    <row r="635" spans="1:33" x14ac:dyDescent="0.25">
      <c r="A635" t="s">
        <v>86</v>
      </c>
      <c r="B635" t="s">
        <v>38</v>
      </c>
      <c r="C635" s="1">
        <v>43108</v>
      </c>
      <c r="D635">
        <v>13</v>
      </c>
      <c r="E635">
        <v>388.7</v>
      </c>
      <c r="F635">
        <v>9.5530769230000008</v>
      </c>
      <c r="G635">
        <v>29.9</v>
      </c>
      <c r="H635">
        <v>55</v>
      </c>
      <c r="I635">
        <v>388</v>
      </c>
      <c r="J635">
        <v>1</v>
      </c>
      <c r="K635">
        <v>250</v>
      </c>
      <c r="L635">
        <v>4.5</v>
      </c>
      <c r="M635">
        <v>127</v>
      </c>
      <c r="N635">
        <v>23</v>
      </c>
      <c r="O635">
        <v>8</v>
      </c>
      <c r="P635">
        <v>1</v>
      </c>
      <c r="Q635">
        <v>8</v>
      </c>
      <c r="R635">
        <v>2018</v>
      </c>
      <c r="S635">
        <v>10.48387097</v>
      </c>
      <c r="T635">
        <v>1200</v>
      </c>
      <c r="U635">
        <v>23.99</v>
      </c>
      <c r="V635">
        <v>4.3</v>
      </c>
      <c r="W635">
        <v>16.77</v>
      </c>
      <c r="X635">
        <v>82.821428569999995</v>
      </c>
      <c r="Y635">
        <v>4.0999999999999996</v>
      </c>
      <c r="Z635">
        <v>12.41857143</v>
      </c>
      <c r="AA635">
        <v>58.99</v>
      </c>
      <c r="AB635">
        <v>3.9</v>
      </c>
      <c r="AC635">
        <v>12.08333333</v>
      </c>
      <c r="AD635">
        <v>29.9</v>
      </c>
      <c r="AE635">
        <f>Table1[[#This Row],[total_price]]/Table1[[#This Row],[qty]]</f>
        <v>29.9</v>
      </c>
      <c r="AF635">
        <f t="shared" si="9"/>
        <v>29.900000000000002</v>
      </c>
      <c r="AG635">
        <f>IF(ROW()=2, "", AVERAGE(D$2:D634))</f>
        <v>14.41390205371248</v>
      </c>
    </row>
    <row r="636" spans="1:33" x14ac:dyDescent="0.25">
      <c r="A636" t="s">
        <v>87</v>
      </c>
      <c r="B636" t="s">
        <v>55</v>
      </c>
      <c r="C636" s="1">
        <v>42738</v>
      </c>
      <c r="D636">
        <v>5</v>
      </c>
      <c r="E636">
        <v>1205.03</v>
      </c>
      <c r="F636">
        <v>21.318000000000001</v>
      </c>
      <c r="G636">
        <v>241.006</v>
      </c>
      <c r="H636">
        <v>35</v>
      </c>
      <c r="I636">
        <v>514</v>
      </c>
      <c r="J636">
        <v>2</v>
      </c>
      <c r="K636">
        <v>4338</v>
      </c>
      <c r="L636">
        <v>3.8</v>
      </c>
      <c r="M636">
        <v>6</v>
      </c>
      <c r="N636">
        <v>23</v>
      </c>
      <c r="O636">
        <v>8</v>
      </c>
      <c r="P636">
        <v>1</v>
      </c>
      <c r="Q636">
        <v>3</v>
      </c>
      <c r="R636">
        <v>2017</v>
      </c>
      <c r="S636">
        <v>17.620075549999999</v>
      </c>
      <c r="T636">
        <v>2856</v>
      </c>
      <c r="U636">
        <v>241.006</v>
      </c>
      <c r="V636">
        <v>3.8</v>
      </c>
      <c r="W636">
        <v>21.318000000000001</v>
      </c>
      <c r="X636">
        <v>241.006</v>
      </c>
      <c r="Y636">
        <v>3.8</v>
      </c>
      <c r="Z636">
        <v>21.318000000000001</v>
      </c>
      <c r="AA636">
        <v>241.006</v>
      </c>
      <c r="AB636">
        <v>3.8</v>
      </c>
      <c r="AC636">
        <v>21.318000000000001</v>
      </c>
      <c r="AD636">
        <v>240.95599999999999</v>
      </c>
      <c r="AE636">
        <f>Table1[[#This Row],[total_price]]/Table1[[#This Row],[qty]]</f>
        <v>241.006</v>
      </c>
      <c r="AF636" t="str">
        <f t="shared" si="9"/>
        <v/>
      </c>
      <c r="AG636">
        <f>IF(ROW()=2, "", AVERAGE(D$2:D635))</f>
        <v>14.411671924290221</v>
      </c>
    </row>
    <row r="637" spans="1:33" x14ac:dyDescent="0.25">
      <c r="A637" t="s">
        <v>87</v>
      </c>
      <c r="B637" t="s">
        <v>55</v>
      </c>
      <c r="C637" s="1">
        <v>42739</v>
      </c>
      <c r="D637">
        <v>3</v>
      </c>
      <c r="E637">
        <v>766.83</v>
      </c>
      <c r="F637">
        <v>21.22666667</v>
      </c>
      <c r="G637">
        <v>255.61</v>
      </c>
      <c r="H637">
        <v>35</v>
      </c>
      <c r="I637">
        <v>514</v>
      </c>
      <c r="J637">
        <v>2</v>
      </c>
      <c r="K637">
        <v>4338</v>
      </c>
      <c r="L637">
        <v>3.8</v>
      </c>
      <c r="M637">
        <v>3</v>
      </c>
      <c r="N637">
        <v>20</v>
      </c>
      <c r="O637">
        <v>10</v>
      </c>
      <c r="P637">
        <v>2</v>
      </c>
      <c r="Q637">
        <v>4</v>
      </c>
      <c r="R637">
        <v>2017</v>
      </c>
      <c r="S637">
        <v>5.8931462489999999</v>
      </c>
      <c r="T637">
        <v>2856</v>
      </c>
      <c r="U637">
        <v>255.61</v>
      </c>
      <c r="V637">
        <v>3.8</v>
      </c>
      <c r="W637">
        <v>21.22666667</v>
      </c>
      <c r="X637">
        <v>255.61</v>
      </c>
      <c r="Y637">
        <v>3.8</v>
      </c>
      <c r="Z637">
        <v>21.22666667</v>
      </c>
      <c r="AA637">
        <v>255.61</v>
      </c>
      <c r="AB637">
        <v>3.8</v>
      </c>
      <c r="AC637">
        <v>21.22666667</v>
      </c>
      <c r="AD637">
        <v>241.006</v>
      </c>
      <c r="AE637">
        <f>Table1[[#This Row],[total_price]]/Table1[[#This Row],[qty]]</f>
        <v>255.61</v>
      </c>
      <c r="AF637">
        <f t="shared" si="9"/>
        <v>241.006</v>
      </c>
      <c r="AG637">
        <f>IF(ROW()=2, "", AVERAGE(D$2:D636))</f>
        <v>14.396850393700788</v>
      </c>
    </row>
    <row r="638" spans="1:33" x14ac:dyDescent="0.25">
      <c r="A638" t="s">
        <v>87</v>
      </c>
      <c r="B638" t="s">
        <v>55</v>
      </c>
      <c r="C638" s="1">
        <v>42741</v>
      </c>
      <c r="D638">
        <v>5</v>
      </c>
      <c r="E638">
        <v>925</v>
      </c>
      <c r="F638">
        <v>14.74</v>
      </c>
      <c r="G638">
        <v>185</v>
      </c>
      <c r="H638">
        <v>35</v>
      </c>
      <c r="I638">
        <v>514</v>
      </c>
      <c r="J638">
        <v>2</v>
      </c>
      <c r="K638">
        <v>4338</v>
      </c>
      <c r="L638">
        <v>3.8</v>
      </c>
      <c r="M638">
        <v>17</v>
      </c>
      <c r="N638">
        <v>22</v>
      </c>
      <c r="O638">
        <v>8</v>
      </c>
      <c r="P638">
        <v>1</v>
      </c>
      <c r="Q638">
        <v>6</v>
      </c>
      <c r="R638">
        <v>2017</v>
      </c>
      <c r="S638">
        <v>9.8219104159999997</v>
      </c>
      <c r="T638">
        <v>2856</v>
      </c>
      <c r="U638">
        <v>163</v>
      </c>
      <c r="V638">
        <v>4.2</v>
      </c>
      <c r="W638">
        <v>14.265000000000001</v>
      </c>
      <c r="X638">
        <v>185</v>
      </c>
      <c r="Y638">
        <v>3.8</v>
      </c>
      <c r="Z638">
        <v>14.74</v>
      </c>
      <c r="AA638">
        <v>185</v>
      </c>
      <c r="AB638">
        <v>3.8</v>
      </c>
      <c r="AC638">
        <v>14.74</v>
      </c>
      <c r="AD638">
        <v>184.95</v>
      </c>
      <c r="AE638">
        <f>Table1[[#This Row],[total_price]]/Table1[[#This Row],[qty]]</f>
        <v>185</v>
      </c>
      <c r="AF638">
        <f t="shared" si="9"/>
        <v>255.61</v>
      </c>
      <c r="AG638">
        <f>IF(ROW()=2, "", AVERAGE(D$2:D637))</f>
        <v>14.378930817610064</v>
      </c>
    </row>
    <row r="639" spans="1:33" x14ac:dyDescent="0.25">
      <c r="A639" t="s">
        <v>87</v>
      </c>
      <c r="B639" t="s">
        <v>55</v>
      </c>
      <c r="C639" s="1">
        <v>42742</v>
      </c>
      <c r="D639">
        <v>10</v>
      </c>
      <c r="E639">
        <v>1973.83</v>
      </c>
      <c r="F639">
        <v>16.606000000000002</v>
      </c>
      <c r="G639">
        <v>197.38300000000001</v>
      </c>
      <c r="H639">
        <v>35</v>
      </c>
      <c r="I639">
        <v>514</v>
      </c>
      <c r="J639">
        <v>2</v>
      </c>
      <c r="K639">
        <v>4338</v>
      </c>
      <c r="L639">
        <v>3.8</v>
      </c>
      <c r="M639">
        <v>29</v>
      </c>
      <c r="N639">
        <v>21</v>
      </c>
      <c r="O639">
        <v>10</v>
      </c>
      <c r="P639">
        <v>1</v>
      </c>
      <c r="Q639">
        <v>7</v>
      </c>
      <c r="R639">
        <v>2017</v>
      </c>
      <c r="S639">
        <v>6.7997841340000003</v>
      </c>
      <c r="T639">
        <v>2856</v>
      </c>
      <c r="U639">
        <v>161.5909091</v>
      </c>
      <c r="V639">
        <v>4.2</v>
      </c>
      <c r="W639">
        <v>15.525454549999999</v>
      </c>
      <c r="X639">
        <v>197.38300000000001</v>
      </c>
      <c r="Y639">
        <v>3.8</v>
      </c>
      <c r="Z639">
        <v>16.606000000000002</v>
      </c>
      <c r="AA639">
        <v>197.38300000000001</v>
      </c>
      <c r="AB639">
        <v>3.8</v>
      </c>
      <c r="AC639">
        <v>16.606000000000002</v>
      </c>
      <c r="AD639">
        <v>185</v>
      </c>
      <c r="AE639">
        <f>Table1[[#This Row],[total_price]]/Table1[[#This Row],[qty]]</f>
        <v>197.38299999999998</v>
      </c>
      <c r="AF639">
        <f t="shared" si="9"/>
        <v>185</v>
      </c>
      <c r="AG639">
        <f>IF(ROW()=2, "", AVERAGE(D$2:D638))</f>
        <v>14.364207221350078</v>
      </c>
    </row>
    <row r="640" spans="1:33" x14ac:dyDescent="0.25">
      <c r="A640" t="s">
        <v>87</v>
      </c>
      <c r="B640" t="s">
        <v>55</v>
      </c>
      <c r="C640" s="1">
        <v>42743</v>
      </c>
      <c r="D640">
        <v>15</v>
      </c>
      <c r="E640">
        <v>2698.5</v>
      </c>
      <c r="F640">
        <v>14.926666669999999</v>
      </c>
      <c r="G640">
        <v>179.9</v>
      </c>
      <c r="H640">
        <v>35</v>
      </c>
      <c r="I640">
        <v>514</v>
      </c>
      <c r="J640">
        <v>2</v>
      </c>
      <c r="K640">
        <v>4338</v>
      </c>
      <c r="L640">
        <v>3.8</v>
      </c>
      <c r="M640">
        <v>48</v>
      </c>
      <c r="N640">
        <v>23</v>
      </c>
      <c r="O640">
        <v>8</v>
      </c>
      <c r="P640">
        <v>1</v>
      </c>
      <c r="Q640">
        <v>8</v>
      </c>
      <c r="R640">
        <v>2017</v>
      </c>
      <c r="S640">
        <v>13.869400969999999</v>
      </c>
      <c r="T640">
        <v>2856</v>
      </c>
      <c r="U640">
        <v>160.66923080000001</v>
      </c>
      <c r="V640">
        <v>4.2</v>
      </c>
      <c r="W640">
        <v>15.185384620000001</v>
      </c>
      <c r="X640">
        <v>179.9</v>
      </c>
      <c r="Y640">
        <v>3.8</v>
      </c>
      <c r="Z640">
        <v>14.926666669999999</v>
      </c>
      <c r="AA640">
        <v>179.9</v>
      </c>
      <c r="AB640">
        <v>3.8</v>
      </c>
      <c r="AC640">
        <v>14.926666669999999</v>
      </c>
      <c r="AD640">
        <v>197.38300000000001</v>
      </c>
      <c r="AE640">
        <f>Table1[[#This Row],[total_price]]/Table1[[#This Row],[qty]]</f>
        <v>179.9</v>
      </c>
      <c r="AF640">
        <f t="shared" si="9"/>
        <v>197.38299999999998</v>
      </c>
      <c r="AG640">
        <f>IF(ROW()=2, "", AVERAGE(D$2:D639))</f>
        <v>14.357366771159874</v>
      </c>
    </row>
    <row r="641" spans="1:33" x14ac:dyDescent="0.25">
      <c r="A641" t="s">
        <v>87</v>
      </c>
      <c r="B641" t="s">
        <v>55</v>
      </c>
      <c r="C641" s="1">
        <v>42744</v>
      </c>
      <c r="D641">
        <v>20</v>
      </c>
      <c r="E641">
        <v>3291.4</v>
      </c>
      <c r="F641">
        <v>19.527999999999999</v>
      </c>
      <c r="G641">
        <v>164.57</v>
      </c>
      <c r="H641">
        <v>35</v>
      </c>
      <c r="I641">
        <v>514</v>
      </c>
      <c r="J641">
        <v>2</v>
      </c>
      <c r="K641">
        <v>4338</v>
      </c>
      <c r="L641">
        <v>3.8</v>
      </c>
      <c r="M641">
        <v>54</v>
      </c>
      <c r="N641">
        <v>21</v>
      </c>
      <c r="O641">
        <v>9</v>
      </c>
      <c r="P641">
        <v>1</v>
      </c>
      <c r="Q641">
        <v>9</v>
      </c>
      <c r="R641">
        <v>2017</v>
      </c>
      <c r="S641">
        <v>23.529411759999999</v>
      </c>
      <c r="T641">
        <v>2856</v>
      </c>
      <c r="U641">
        <v>148.7785714</v>
      </c>
      <c r="V641">
        <v>4.2</v>
      </c>
      <c r="W641">
        <v>14.041111109999999</v>
      </c>
      <c r="X641">
        <v>164.57</v>
      </c>
      <c r="Y641">
        <v>3.8</v>
      </c>
      <c r="Z641">
        <v>19.527999999999999</v>
      </c>
      <c r="AA641">
        <v>164.57</v>
      </c>
      <c r="AB641">
        <v>3.8</v>
      </c>
      <c r="AC641">
        <v>19.527999999999999</v>
      </c>
      <c r="AD641">
        <v>179.9</v>
      </c>
      <c r="AE641">
        <f>Table1[[#This Row],[total_price]]/Table1[[#This Row],[qty]]</f>
        <v>164.57</v>
      </c>
      <c r="AF641">
        <f t="shared" si="9"/>
        <v>179.9</v>
      </c>
      <c r="AG641">
        <f>IF(ROW()=2, "", AVERAGE(D$2:D640))</f>
        <v>14.358372456964005</v>
      </c>
    </row>
    <row r="642" spans="1:33" x14ac:dyDescent="0.25">
      <c r="A642" t="s">
        <v>87</v>
      </c>
      <c r="B642" t="s">
        <v>55</v>
      </c>
      <c r="C642" s="1">
        <v>42745</v>
      </c>
      <c r="D642">
        <v>4</v>
      </c>
      <c r="E642">
        <v>929.96</v>
      </c>
      <c r="F642">
        <v>14.2125</v>
      </c>
      <c r="G642">
        <v>232.49</v>
      </c>
      <c r="H642">
        <v>35</v>
      </c>
      <c r="I642">
        <v>514</v>
      </c>
      <c r="J642">
        <v>2</v>
      </c>
      <c r="K642">
        <v>4338</v>
      </c>
      <c r="L642">
        <v>3.8</v>
      </c>
      <c r="M642">
        <v>43</v>
      </c>
      <c r="N642">
        <v>22</v>
      </c>
      <c r="O642">
        <v>9</v>
      </c>
      <c r="P642">
        <v>2</v>
      </c>
      <c r="Q642">
        <v>10</v>
      </c>
      <c r="R642">
        <v>2017</v>
      </c>
      <c r="S642">
        <v>4.7058823529999998</v>
      </c>
      <c r="T642">
        <v>2856</v>
      </c>
      <c r="U642">
        <v>134.9</v>
      </c>
      <c r="V642">
        <v>4.2</v>
      </c>
      <c r="W642">
        <v>6.81</v>
      </c>
      <c r="X642">
        <v>232.49</v>
      </c>
      <c r="Y642">
        <v>3.8</v>
      </c>
      <c r="Z642">
        <v>14.2125</v>
      </c>
      <c r="AA642">
        <v>232.49</v>
      </c>
      <c r="AB642">
        <v>3.8</v>
      </c>
      <c r="AC642">
        <v>14.2125</v>
      </c>
      <c r="AD642">
        <v>164.57</v>
      </c>
      <c r="AE642">
        <f>Table1[[#This Row],[total_price]]/Table1[[#This Row],[qty]]</f>
        <v>232.49</v>
      </c>
      <c r="AF642">
        <f t="shared" ref="AF642:AF677" si="10">IF(A642=A641,AE641,"")</f>
        <v>164.57</v>
      </c>
      <c r="AG642">
        <f>IF(ROW()=2, "", AVERAGE(D$2:D641))</f>
        <v>14.3671875</v>
      </c>
    </row>
    <row r="643" spans="1:33" x14ac:dyDescent="0.25">
      <c r="A643" t="s">
        <v>87</v>
      </c>
      <c r="B643" t="s">
        <v>55</v>
      </c>
      <c r="C643" s="1">
        <v>42746</v>
      </c>
      <c r="D643">
        <v>18</v>
      </c>
      <c r="E643">
        <v>3139.8</v>
      </c>
      <c r="F643">
        <v>20.992777780000001</v>
      </c>
      <c r="G643">
        <v>174.43333329999999</v>
      </c>
      <c r="H643">
        <v>35</v>
      </c>
      <c r="I643">
        <v>514</v>
      </c>
      <c r="J643">
        <v>2</v>
      </c>
      <c r="K643">
        <v>4338</v>
      </c>
      <c r="L643">
        <v>3.8</v>
      </c>
      <c r="M643">
        <v>91</v>
      </c>
      <c r="N643">
        <v>22</v>
      </c>
      <c r="O643">
        <v>8</v>
      </c>
      <c r="P643">
        <v>4</v>
      </c>
      <c r="Q643">
        <v>11</v>
      </c>
      <c r="R643">
        <v>2017</v>
      </c>
      <c r="S643">
        <v>21.176470590000001</v>
      </c>
      <c r="T643">
        <v>2856</v>
      </c>
      <c r="U643">
        <v>133</v>
      </c>
      <c r="V643">
        <v>4.2</v>
      </c>
      <c r="W643">
        <v>19.916666670000001</v>
      </c>
      <c r="X643">
        <v>108</v>
      </c>
      <c r="Y643">
        <v>4.2</v>
      </c>
      <c r="Z643">
        <v>15.908461539999999</v>
      </c>
      <c r="AA643">
        <v>174.43333329999999</v>
      </c>
      <c r="AB643">
        <v>3.8</v>
      </c>
      <c r="AC643">
        <v>20.992777780000001</v>
      </c>
      <c r="AD643">
        <v>232.49</v>
      </c>
      <c r="AE643">
        <f>Table1[[#This Row],[total_price]]/Table1[[#This Row],[qty]]</f>
        <v>174.43333333333334</v>
      </c>
      <c r="AF643">
        <f t="shared" si="10"/>
        <v>232.49</v>
      </c>
      <c r="AG643">
        <f>IF(ROW()=2, "", AVERAGE(D$2:D642))</f>
        <v>14.351014040561623</v>
      </c>
    </row>
    <row r="644" spans="1:33" x14ac:dyDescent="0.25">
      <c r="A644" t="s">
        <v>87</v>
      </c>
      <c r="B644" t="s">
        <v>55</v>
      </c>
      <c r="C644" s="1">
        <v>42747</v>
      </c>
      <c r="D644">
        <v>5</v>
      </c>
      <c r="E644">
        <v>929.8</v>
      </c>
      <c r="F644">
        <v>18.686</v>
      </c>
      <c r="G644">
        <v>185.96</v>
      </c>
      <c r="H644">
        <v>35</v>
      </c>
      <c r="I644">
        <v>514</v>
      </c>
      <c r="J644">
        <v>2</v>
      </c>
      <c r="K644">
        <v>4338</v>
      </c>
      <c r="L644">
        <v>3.8</v>
      </c>
      <c r="M644">
        <v>73</v>
      </c>
      <c r="N644">
        <v>21</v>
      </c>
      <c r="O644">
        <v>10</v>
      </c>
      <c r="P644">
        <v>1</v>
      </c>
      <c r="Q644">
        <v>12</v>
      </c>
      <c r="R644">
        <v>2017</v>
      </c>
      <c r="S644">
        <v>5.8823529409999997</v>
      </c>
      <c r="T644">
        <v>2856</v>
      </c>
      <c r="U644">
        <v>149</v>
      </c>
      <c r="V644">
        <v>4.2</v>
      </c>
      <c r="W644">
        <v>19.100000000000001</v>
      </c>
      <c r="X644">
        <v>108</v>
      </c>
      <c r="Y644">
        <v>4.2</v>
      </c>
      <c r="Z644">
        <v>16.65384615</v>
      </c>
      <c r="AA644">
        <v>185.96</v>
      </c>
      <c r="AB644">
        <v>3.8</v>
      </c>
      <c r="AC644">
        <v>18.686</v>
      </c>
      <c r="AD644">
        <v>174.43333329999999</v>
      </c>
      <c r="AE644">
        <f>Table1[[#This Row],[total_price]]/Table1[[#This Row],[qty]]</f>
        <v>185.95999999999998</v>
      </c>
      <c r="AF644">
        <f t="shared" si="10"/>
        <v>174.43333333333334</v>
      </c>
      <c r="AG644">
        <f>IF(ROW()=2, "", AVERAGE(D$2:D643))</f>
        <v>14.356697819314642</v>
      </c>
    </row>
    <row r="645" spans="1:33" x14ac:dyDescent="0.25">
      <c r="A645" t="s">
        <v>87</v>
      </c>
      <c r="B645" t="s">
        <v>55</v>
      </c>
      <c r="C645" s="1">
        <v>43101</v>
      </c>
      <c r="D645">
        <v>2</v>
      </c>
      <c r="E645">
        <v>398</v>
      </c>
      <c r="F645">
        <v>21.88</v>
      </c>
      <c r="G645">
        <v>199</v>
      </c>
      <c r="H645">
        <v>35</v>
      </c>
      <c r="I645">
        <v>514</v>
      </c>
      <c r="J645">
        <v>2</v>
      </c>
      <c r="K645">
        <v>4338</v>
      </c>
      <c r="L645">
        <v>3.8</v>
      </c>
      <c r="M645">
        <v>59</v>
      </c>
      <c r="N645">
        <v>23</v>
      </c>
      <c r="O645">
        <v>8</v>
      </c>
      <c r="P645">
        <v>2</v>
      </c>
      <c r="Q645">
        <v>1</v>
      </c>
      <c r="R645">
        <v>2018</v>
      </c>
      <c r="S645">
        <v>1.8348623850000001</v>
      </c>
      <c r="T645">
        <v>2856</v>
      </c>
      <c r="U645">
        <v>199</v>
      </c>
      <c r="V645">
        <v>3.8</v>
      </c>
      <c r="W645">
        <v>21.88</v>
      </c>
      <c r="X645">
        <v>108</v>
      </c>
      <c r="Y645">
        <v>4.2</v>
      </c>
      <c r="Z645">
        <v>16.196363640000001</v>
      </c>
      <c r="AA645">
        <v>199</v>
      </c>
      <c r="AB645">
        <v>3.8</v>
      </c>
      <c r="AC645">
        <v>21.88</v>
      </c>
      <c r="AD645">
        <v>185.96</v>
      </c>
      <c r="AE645">
        <f>Table1[[#This Row],[total_price]]/Table1[[#This Row],[qty]]</f>
        <v>199</v>
      </c>
      <c r="AF645">
        <f t="shared" si="10"/>
        <v>185.95999999999998</v>
      </c>
      <c r="AG645">
        <f>IF(ROW()=2, "", AVERAGE(D$2:D644))</f>
        <v>14.342146189735614</v>
      </c>
    </row>
    <row r="646" spans="1:33" x14ac:dyDescent="0.25">
      <c r="A646" t="s">
        <v>87</v>
      </c>
      <c r="B646" t="s">
        <v>55</v>
      </c>
      <c r="C646" s="1">
        <v>43102</v>
      </c>
      <c r="D646">
        <v>6</v>
      </c>
      <c r="E646">
        <v>1092</v>
      </c>
      <c r="F646">
        <v>19.329999999999998</v>
      </c>
      <c r="G646">
        <v>182</v>
      </c>
      <c r="H646">
        <v>35</v>
      </c>
      <c r="I646">
        <v>514</v>
      </c>
      <c r="J646">
        <v>2</v>
      </c>
      <c r="K646">
        <v>4338</v>
      </c>
      <c r="L646">
        <v>3.8</v>
      </c>
      <c r="M646">
        <v>90</v>
      </c>
      <c r="N646">
        <v>20</v>
      </c>
      <c r="O646">
        <v>8</v>
      </c>
      <c r="P646">
        <v>2</v>
      </c>
      <c r="Q646">
        <v>2</v>
      </c>
      <c r="R646">
        <v>2018</v>
      </c>
      <c r="S646">
        <v>5.5045871560000004</v>
      </c>
      <c r="T646">
        <v>2856</v>
      </c>
      <c r="U646">
        <v>128.2416667</v>
      </c>
      <c r="V646">
        <v>4.2</v>
      </c>
      <c r="W646">
        <v>15.926666669999999</v>
      </c>
      <c r="X646">
        <v>108</v>
      </c>
      <c r="Y646">
        <v>4.2</v>
      </c>
      <c r="Z646">
        <v>18.253636360000002</v>
      </c>
      <c r="AA646">
        <v>182</v>
      </c>
      <c r="AB646">
        <v>3.8</v>
      </c>
      <c r="AC646">
        <v>19.329999999999998</v>
      </c>
      <c r="AD646">
        <v>199</v>
      </c>
      <c r="AE646">
        <f>Table1[[#This Row],[total_price]]/Table1[[#This Row],[qty]]</f>
        <v>182</v>
      </c>
      <c r="AF646">
        <f t="shared" si="10"/>
        <v>199</v>
      </c>
      <c r="AG646">
        <f>IF(ROW()=2, "", AVERAGE(D$2:D645))</f>
        <v>14.322981366459627</v>
      </c>
    </row>
    <row r="647" spans="1:33" x14ac:dyDescent="0.25">
      <c r="A647" t="s">
        <v>87</v>
      </c>
      <c r="B647" t="s">
        <v>55</v>
      </c>
      <c r="C647" s="1">
        <v>43103</v>
      </c>
      <c r="D647">
        <v>32</v>
      </c>
      <c r="E647">
        <v>4860.1099999999997</v>
      </c>
      <c r="F647">
        <v>20.313749999999999</v>
      </c>
      <c r="G647">
        <v>151.87843749999999</v>
      </c>
      <c r="H647">
        <v>35</v>
      </c>
      <c r="I647">
        <v>514</v>
      </c>
      <c r="J647">
        <v>2</v>
      </c>
      <c r="K647">
        <v>4338</v>
      </c>
      <c r="L647">
        <v>3.8</v>
      </c>
      <c r="M647">
        <v>125</v>
      </c>
      <c r="N647">
        <v>22</v>
      </c>
      <c r="O647">
        <v>9</v>
      </c>
      <c r="P647">
        <v>1</v>
      </c>
      <c r="Q647">
        <v>3</v>
      </c>
      <c r="R647">
        <v>2018</v>
      </c>
      <c r="S647">
        <v>17.620075549999999</v>
      </c>
      <c r="T647">
        <v>2856</v>
      </c>
      <c r="U647">
        <v>117.44129030000001</v>
      </c>
      <c r="V647">
        <v>4.2</v>
      </c>
      <c r="W647">
        <v>18.261290320000001</v>
      </c>
      <c r="X647">
        <v>105.6428571</v>
      </c>
      <c r="Y647">
        <v>4.2</v>
      </c>
      <c r="Z647">
        <v>21.6652381</v>
      </c>
      <c r="AA647">
        <v>151.87843749999999</v>
      </c>
      <c r="AB647">
        <v>3.8</v>
      </c>
      <c r="AC647">
        <v>20.313749999999999</v>
      </c>
      <c r="AD647">
        <v>182</v>
      </c>
      <c r="AE647">
        <f>Table1[[#This Row],[total_price]]/Table1[[#This Row],[qty]]</f>
        <v>151.87843749999999</v>
      </c>
      <c r="AF647">
        <f t="shared" si="10"/>
        <v>182</v>
      </c>
      <c r="AG647">
        <f>IF(ROW()=2, "", AVERAGE(D$2:D646))</f>
        <v>14.310077519379846</v>
      </c>
    </row>
    <row r="648" spans="1:33" x14ac:dyDescent="0.25">
      <c r="A648" t="s">
        <v>87</v>
      </c>
      <c r="B648" t="s">
        <v>55</v>
      </c>
      <c r="C648" s="1">
        <v>43104</v>
      </c>
      <c r="D648">
        <v>9</v>
      </c>
      <c r="E648">
        <v>1351.2</v>
      </c>
      <c r="F648">
        <v>19.447777779999999</v>
      </c>
      <c r="G648">
        <v>150.1333333</v>
      </c>
      <c r="H648">
        <v>35</v>
      </c>
      <c r="I648">
        <v>514</v>
      </c>
      <c r="J648">
        <v>2</v>
      </c>
      <c r="K648">
        <v>4338</v>
      </c>
      <c r="L648">
        <v>3.8</v>
      </c>
      <c r="M648">
        <v>178</v>
      </c>
      <c r="N648">
        <v>21</v>
      </c>
      <c r="O648">
        <v>9</v>
      </c>
      <c r="P648">
        <v>1</v>
      </c>
      <c r="Q648">
        <v>4</v>
      </c>
      <c r="R648">
        <v>2018</v>
      </c>
      <c r="S648">
        <v>5.8931462489999999</v>
      </c>
      <c r="T648">
        <v>2856</v>
      </c>
      <c r="U648">
        <v>105.648625</v>
      </c>
      <c r="V648">
        <v>4.2</v>
      </c>
      <c r="W648">
        <v>2.1816470589999999</v>
      </c>
      <c r="X648">
        <v>105</v>
      </c>
      <c r="Y648">
        <v>4.2</v>
      </c>
      <c r="Z648">
        <v>13.631428570000001</v>
      </c>
      <c r="AA648">
        <v>150.1333333</v>
      </c>
      <c r="AB648">
        <v>3.8</v>
      </c>
      <c r="AC648">
        <v>19.447777779999999</v>
      </c>
      <c r="AD648">
        <v>151.87843749999999</v>
      </c>
      <c r="AE648">
        <f>Table1[[#This Row],[total_price]]/Table1[[#This Row],[qty]]</f>
        <v>150.13333333333333</v>
      </c>
      <c r="AF648">
        <f t="shared" si="10"/>
        <v>151.87843749999999</v>
      </c>
      <c r="AG648">
        <f>IF(ROW()=2, "", AVERAGE(D$2:D647))</f>
        <v>14.337461300309597</v>
      </c>
    </row>
    <row r="649" spans="1:33" x14ac:dyDescent="0.25">
      <c r="A649" t="s">
        <v>87</v>
      </c>
      <c r="B649" t="s">
        <v>55</v>
      </c>
      <c r="C649" s="1">
        <v>43105</v>
      </c>
      <c r="D649">
        <v>32</v>
      </c>
      <c r="E649">
        <v>4241</v>
      </c>
      <c r="F649">
        <v>15.7621875</v>
      </c>
      <c r="G649">
        <v>132.53125</v>
      </c>
      <c r="H649">
        <v>35</v>
      </c>
      <c r="I649">
        <v>514</v>
      </c>
      <c r="J649">
        <v>2</v>
      </c>
      <c r="K649">
        <v>4338</v>
      </c>
      <c r="L649">
        <v>3.8</v>
      </c>
      <c r="M649">
        <v>260</v>
      </c>
      <c r="N649">
        <v>23</v>
      </c>
      <c r="O649">
        <v>8</v>
      </c>
      <c r="P649">
        <v>3</v>
      </c>
      <c r="Q649">
        <v>5</v>
      </c>
      <c r="R649">
        <v>2018</v>
      </c>
      <c r="S649">
        <v>29.357798169999999</v>
      </c>
      <c r="T649">
        <v>2856</v>
      </c>
      <c r="U649">
        <v>103.79252339999999</v>
      </c>
      <c r="V649">
        <v>4.2</v>
      </c>
      <c r="W649">
        <v>9.5438596000000001E-2</v>
      </c>
      <c r="X649">
        <v>105</v>
      </c>
      <c r="Y649">
        <v>4.2</v>
      </c>
      <c r="Z649">
        <v>11.3772973</v>
      </c>
      <c r="AA649">
        <v>132.53125</v>
      </c>
      <c r="AB649">
        <v>3.8</v>
      </c>
      <c r="AC649">
        <v>15.7621875</v>
      </c>
      <c r="AD649">
        <v>150.1333333</v>
      </c>
      <c r="AE649">
        <f>Table1[[#This Row],[total_price]]/Table1[[#This Row],[qty]]</f>
        <v>132.53125</v>
      </c>
      <c r="AF649">
        <f t="shared" si="10"/>
        <v>150.13333333333333</v>
      </c>
      <c r="AG649">
        <f>IF(ROW()=2, "", AVERAGE(D$2:D648))</f>
        <v>14.329211746522411</v>
      </c>
    </row>
    <row r="650" spans="1:33" x14ac:dyDescent="0.25">
      <c r="A650" t="s">
        <v>87</v>
      </c>
      <c r="B650" t="s">
        <v>55</v>
      </c>
      <c r="C650" s="1">
        <v>43106</v>
      </c>
      <c r="D650">
        <v>15</v>
      </c>
      <c r="E650">
        <v>2073.3000000000002</v>
      </c>
      <c r="F650">
        <v>16.108000000000001</v>
      </c>
      <c r="G650">
        <v>138.22</v>
      </c>
      <c r="H650">
        <v>35</v>
      </c>
      <c r="I650">
        <v>514</v>
      </c>
      <c r="J650">
        <v>2</v>
      </c>
      <c r="K650">
        <v>4338</v>
      </c>
      <c r="L650">
        <v>3.8</v>
      </c>
      <c r="M650">
        <v>93</v>
      </c>
      <c r="N650">
        <v>21</v>
      </c>
      <c r="O650">
        <v>9</v>
      </c>
      <c r="P650">
        <v>0</v>
      </c>
      <c r="Q650">
        <v>6</v>
      </c>
      <c r="R650">
        <v>2018</v>
      </c>
      <c r="S650">
        <v>9.8219104159999997</v>
      </c>
      <c r="T650">
        <v>2856</v>
      </c>
      <c r="U650">
        <v>119</v>
      </c>
      <c r="V650">
        <v>4.2</v>
      </c>
      <c r="W650">
        <v>19.206666670000001</v>
      </c>
      <c r="X650">
        <v>105</v>
      </c>
      <c r="Y650">
        <v>4.2</v>
      </c>
      <c r="Z650">
        <v>23.823571430000001</v>
      </c>
      <c r="AA650">
        <v>138.22</v>
      </c>
      <c r="AB650">
        <v>3.8</v>
      </c>
      <c r="AC650">
        <v>16.108000000000001</v>
      </c>
      <c r="AD650">
        <v>132.53125</v>
      </c>
      <c r="AE650">
        <f>Table1[[#This Row],[total_price]]/Table1[[#This Row],[qty]]</f>
        <v>138.22</v>
      </c>
      <c r="AF650">
        <f t="shared" si="10"/>
        <v>132.53125</v>
      </c>
      <c r="AG650">
        <f>IF(ROW()=2, "", AVERAGE(D$2:D649))</f>
        <v>14.356481481481481</v>
      </c>
    </row>
    <row r="651" spans="1:33" x14ac:dyDescent="0.25">
      <c r="A651" t="s">
        <v>87</v>
      </c>
      <c r="B651" t="s">
        <v>55</v>
      </c>
      <c r="C651" s="1">
        <v>43107</v>
      </c>
      <c r="D651">
        <v>2</v>
      </c>
      <c r="E651">
        <v>310</v>
      </c>
      <c r="F651">
        <v>16.47</v>
      </c>
      <c r="G651">
        <v>155</v>
      </c>
      <c r="H651">
        <v>35</v>
      </c>
      <c r="I651">
        <v>514</v>
      </c>
      <c r="J651">
        <v>2</v>
      </c>
      <c r="K651">
        <v>4338</v>
      </c>
      <c r="L651">
        <v>3.8</v>
      </c>
      <c r="M651">
        <v>122</v>
      </c>
      <c r="N651">
        <v>22</v>
      </c>
      <c r="O651">
        <v>9</v>
      </c>
      <c r="P651">
        <v>1</v>
      </c>
      <c r="Q651">
        <v>7</v>
      </c>
      <c r="R651">
        <v>2018</v>
      </c>
      <c r="S651">
        <v>6.7997841340000003</v>
      </c>
      <c r="T651">
        <v>2856</v>
      </c>
      <c r="U651">
        <v>118.3636364</v>
      </c>
      <c r="V651">
        <v>4.2</v>
      </c>
      <c r="W651">
        <v>15.48</v>
      </c>
      <c r="X651">
        <v>105</v>
      </c>
      <c r="Y651">
        <v>4.2</v>
      </c>
      <c r="Z651">
        <v>24.938749999999999</v>
      </c>
      <c r="AA651">
        <v>155</v>
      </c>
      <c r="AB651">
        <v>3.8</v>
      </c>
      <c r="AC651">
        <v>16.47</v>
      </c>
      <c r="AD651">
        <v>138.22</v>
      </c>
      <c r="AE651">
        <f>Table1[[#This Row],[total_price]]/Table1[[#This Row],[qty]]</f>
        <v>155</v>
      </c>
      <c r="AF651">
        <f t="shared" si="10"/>
        <v>138.22</v>
      </c>
      <c r="AG651">
        <f>IF(ROW()=2, "", AVERAGE(D$2:D650))</f>
        <v>14.357473035439137</v>
      </c>
    </row>
    <row r="652" spans="1:33" x14ac:dyDescent="0.25">
      <c r="A652" t="s">
        <v>87</v>
      </c>
      <c r="B652" t="s">
        <v>55</v>
      </c>
      <c r="C652" s="1">
        <v>43108</v>
      </c>
      <c r="D652">
        <v>11</v>
      </c>
      <c r="E652">
        <v>1601.06</v>
      </c>
      <c r="F652">
        <v>21.897272730000001</v>
      </c>
      <c r="G652">
        <v>145.55090910000001</v>
      </c>
      <c r="H652">
        <v>35</v>
      </c>
      <c r="I652">
        <v>514</v>
      </c>
      <c r="J652">
        <v>2</v>
      </c>
      <c r="K652">
        <v>4338</v>
      </c>
      <c r="L652">
        <v>3.8</v>
      </c>
      <c r="M652">
        <v>61</v>
      </c>
      <c r="N652">
        <v>23</v>
      </c>
      <c r="O652">
        <v>8</v>
      </c>
      <c r="P652">
        <v>1</v>
      </c>
      <c r="Q652">
        <v>8</v>
      </c>
      <c r="R652">
        <v>2018</v>
      </c>
      <c r="S652">
        <v>13.869400969999999</v>
      </c>
      <c r="T652">
        <v>2856</v>
      </c>
      <c r="U652">
        <v>112</v>
      </c>
      <c r="V652">
        <v>4.2</v>
      </c>
      <c r="W652">
        <v>13.44</v>
      </c>
      <c r="X652">
        <v>105</v>
      </c>
      <c r="Y652">
        <v>4.2</v>
      </c>
      <c r="Z652">
        <v>23.385714289999999</v>
      </c>
      <c r="AA652">
        <v>145.55090910000001</v>
      </c>
      <c r="AB652">
        <v>3.8</v>
      </c>
      <c r="AC652">
        <v>21.897272730000001</v>
      </c>
      <c r="AD652">
        <v>155</v>
      </c>
      <c r="AE652">
        <f>Table1[[#This Row],[total_price]]/Table1[[#This Row],[qty]]</f>
        <v>145.55090909090907</v>
      </c>
      <c r="AF652">
        <f t="shared" si="10"/>
        <v>155</v>
      </c>
      <c r="AG652">
        <f>IF(ROW()=2, "", AVERAGE(D$2:D651))</f>
        <v>14.338461538461539</v>
      </c>
    </row>
    <row r="653" spans="1:33" x14ac:dyDescent="0.25">
      <c r="A653" t="s">
        <v>88</v>
      </c>
      <c r="B653" t="s">
        <v>48</v>
      </c>
      <c r="C653" s="1">
        <v>42746</v>
      </c>
      <c r="D653">
        <v>1</v>
      </c>
      <c r="E653">
        <v>109.9</v>
      </c>
      <c r="F653">
        <v>15.52</v>
      </c>
      <c r="G653">
        <v>109.9</v>
      </c>
      <c r="H653">
        <v>33</v>
      </c>
      <c r="I653">
        <v>256</v>
      </c>
      <c r="J653">
        <v>1</v>
      </c>
      <c r="K653">
        <v>180</v>
      </c>
      <c r="L653">
        <v>3.5</v>
      </c>
      <c r="M653">
        <v>36</v>
      </c>
      <c r="N653">
        <v>22</v>
      </c>
      <c r="O653">
        <v>8</v>
      </c>
      <c r="P653">
        <v>4</v>
      </c>
      <c r="Q653">
        <v>11</v>
      </c>
      <c r="R653">
        <v>2017</v>
      </c>
      <c r="S653">
        <v>7.692307692</v>
      </c>
      <c r="T653">
        <v>2210</v>
      </c>
      <c r="U653">
        <v>149.99</v>
      </c>
      <c r="V653">
        <v>4.2</v>
      </c>
      <c r="W653">
        <v>42.517222220000001</v>
      </c>
      <c r="X653">
        <v>109.9</v>
      </c>
      <c r="Y653">
        <v>3.5</v>
      </c>
      <c r="Z653">
        <v>15.52</v>
      </c>
      <c r="AA653">
        <v>109.9</v>
      </c>
      <c r="AB653">
        <v>3.5</v>
      </c>
      <c r="AC653">
        <v>15.52</v>
      </c>
      <c r="AD653">
        <v>109.85</v>
      </c>
      <c r="AE653">
        <f>Table1[[#This Row],[total_price]]/Table1[[#This Row],[qty]]</f>
        <v>109.9</v>
      </c>
      <c r="AF653" t="str">
        <f t="shared" si="10"/>
        <v/>
      </c>
      <c r="AG653">
        <f>IF(ROW()=2, "", AVERAGE(D$2:D652))</f>
        <v>14.333333333333334</v>
      </c>
    </row>
    <row r="654" spans="1:33" x14ac:dyDescent="0.25">
      <c r="A654" t="s">
        <v>88</v>
      </c>
      <c r="B654" t="s">
        <v>48</v>
      </c>
      <c r="C654" s="1">
        <v>42747</v>
      </c>
      <c r="D654">
        <v>12</v>
      </c>
      <c r="E654">
        <v>1318.8</v>
      </c>
      <c r="F654">
        <v>25.249166670000001</v>
      </c>
      <c r="G654">
        <v>109.9</v>
      </c>
      <c r="H654">
        <v>33</v>
      </c>
      <c r="I654">
        <v>256</v>
      </c>
      <c r="J654">
        <v>1</v>
      </c>
      <c r="K654">
        <v>180</v>
      </c>
      <c r="L654">
        <v>3.5</v>
      </c>
      <c r="M654">
        <v>35</v>
      </c>
      <c r="N654">
        <v>21</v>
      </c>
      <c r="O654">
        <v>10</v>
      </c>
      <c r="P654">
        <v>1</v>
      </c>
      <c r="Q654">
        <v>12</v>
      </c>
      <c r="R654">
        <v>2017</v>
      </c>
      <c r="S654">
        <v>92.307692309999993</v>
      </c>
      <c r="T654">
        <v>2210</v>
      </c>
      <c r="U654">
        <v>149.99</v>
      </c>
      <c r="V654">
        <v>4.2</v>
      </c>
      <c r="W654">
        <v>38.57</v>
      </c>
      <c r="X654">
        <v>109.9</v>
      </c>
      <c r="Y654">
        <v>3.5</v>
      </c>
      <c r="Z654">
        <v>25.249166670000001</v>
      </c>
      <c r="AA654">
        <v>109.9</v>
      </c>
      <c r="AB654">
        <v>3.5</v>
      </c>
      <c r="AC654">
        <v>25.249166670000001</v>
      </c>
      <c r="AD654">
        <v>109.9</v>
      </c>
      <c r="AE654">
        <f>Table1[[#This Row],[total_price]]/Table1[[#This Row],[qty]]</f>
        <v>109.89999999999999</v>
      </c>
      <c r="AF654">
        <f t="shared" si="10"/>
        <v>109.9</v>
      </c>
      <c r="AG654">
        <f>IF(ROW()=2, "", AVERAGE(D$2:D653))</f>
        <v>14.312883435582823</v>
      </c>
    </row>
    <row r="655" spans="1:33" x14ac:dyDescent="0.25">
      <c r="A655" t="s">
        <v>88</v>
      </c>
      <c r="B655" t="s">
        <v>48</v>
      </c>
      <c r="C655" s="1">
        <v>43101</v>
      </c>
      <c r="D655">
        <v>29</v>
      </c>
      <c r="E655">
        <v>2831.55</v>
      </c>
      <c r="F655">
        <v>14.846551720000001</v>
      </c>
      <c r="G655">
        <v>97.642499999999998</v>
      </c>
      <c r="H655">
        <v>33</v>
      </c>
      <c r="I655">
        <v>256</v>
      </c>
      <c r="J655">
        <v>1</v>
      </c>
      <c r="K655">
        <v>180</v>
      </c>
      <c r="L655">
        <v>3.5</v>
      </c>
      <c r="M655">
        <v>152</v>
      </c>
      <c r="N655">
        <v>23</v>
      </c>
      <c r="O655">
        <v>8</v>
      </c>
      <c r="P655">
        <v>2</v>
      </c>
      <c r="Q655">
        <v>1</v>
      </c>
      <c r="R655">
        <v>2018</v>
      </c>
      <c r="S655">
        <v>17.058823530000002</v>
      </c>
      <c r="T655">
        <v>2210</v>
      </c>
      <c r="U655">
        <v>156.5113514</v>
      </c>
      <c r="V655">
        <v>4.2</v>
      </c>
      <c r="W655">
        <v>36.807209299999997</v>
      </c>
      <c r="X655">
        <v>150.3545455</v>
      </c>
      <c r="Y655">
        <v>4.3</v>
      </c>
      <c r="Z655">
        <v>22.547727269999999</v>
      </c>
      <c r="AA655">
        <v>97.642499999999998</v>
      </c>
      <c r="AB655">
        <v>3.5</v>
      </c>
      <c r="AC655">
        <v>14.846551720000001</v>
      </c>
      <c r="AD655">
        <v>109.9</v>
      </c>
      <c r="AE655">
        <f>Table1[[#This Row],[total_price]]/Table1[[#This Row],[qty]]</f>
        <v>97.639655172413796</v>
      </c>
      <c r="AF655">
        <f t="shared" si="10"/>
        <v>109.89999999999999</v>
      </c>
      <c r="AG655">
        <f>IF(ROW()=2, "", AVERAGE(D$2:D654))</f>
        <v>14.309341500765697</v>
      </c>
    </row>
    <row r="656" spans="1:33" x14ac:dyDescent="0.25">
      <c r="A656" t="s">
        <v>88</v>
      </c>
      <c r="B656" t="s">
        <v>48</v>
      </c>
      <c r="C656" s="1">
        <v>43102</v>
      </c>
      <c r="D656">
        <v>71</v>
      </c>
      <c r="E656">
        <v>5581.8</v>
      </c>
      <c r="F656">
        <v>14.535915490000001</v>
      </c>
      <c r="G656">
        <v>78.712280699999994</v>
      </c>
      <c r="H656">
        <v>33</v>
      </c>
      <c r="I656">
        <v>256</v>
      </c>
      <c r="J656">
        <v>1</v>
      </c>
      <c r="K656">
        <v>180</v>
      </c>
      <c r="L656">
        <v>3.5</v>
      </c>
      <c r="M656">
        <v>202</v>
      </c>
      <c r="N656">
        <v>20</v>
      </c>
      <c r="O656">
        <v>8</v>
      </c>
      <c r="P656">
        <v>2</v>
      </c>
      <c r="Q656">
        <v>2</v>
      </c>
      <c r="R656">
        <v>2018</v>
      </c>
      <c r="S656">
        <v>41.764705880000001</v>
      </c>
      <c r="T656">
        <v>2210</v>
      </c>
      <c r="U656">
        <v>149</v>
      </c>
      <c r="V656">
        <v>4.2</v>
      </c>
      <c r="W656">
        <v>41.16322581</v>
      </c>
      <c r="X656">
        <v>149.9</v>
      </c>
      <c r="Y656">
        <v>4.3</v>
      </c>
      <c r="Z656">
        <v>26.552898549999998</v>
      </c>
      <c r="AA656">
        <v>78.712280699999994</v>
      </c>
      <c r="AB656">
        <v>3.5</v>
      </c>
      <c r="AC656">
        <v>14.535915490000001</v>
      </c>
      <c r="AD656">
        <v>97.642499999999998</v>
      </c>
      <c r="AE656">
        <f>Table1[[#This Row],[total_price]]/Table1[[#This Row],[qty]]</f>
        <v>78.616901408450701</v>
      </c>
      <c r="AF656">
        <f t="shared" si="10"/>
        <v>97.639655172413796</v>
      </c>
      <c r="AG656">
        <f>IF(ROW()=2, "", AVERAGE(D$2:D655))</f>
        <v>14.331804281345565</v>
      </c>
    </row>
    <row r="657" spans="1:33" x14ac:dyDescent="0.25">
      <c r="A657" t="s">
        <v>88</v>
      </c>
      <c r="B657" t="s">
        <v>48</v>
      </c>
      <c r="C657" s="1">
        <v>43103</v>
      </c>
      <c r="D657">
        <v>27</v>
      </c>
      <c r="E657">
        <v>2187.3000000000002</v>
      </c>
      <c r="F657">
        <v>18.221481480000001</v>
      </c>
      <c r="G657">
        <v>81.023913039999996</v>
      </c>
      <c r="H657">
        <v>33</v>
      </c>
      <c r="I657">
        <v>256</v>
      </c>
      <c r="J657">
        <v>1</v>
      </c>
      <c r="K657">
        <v>180</v>
      </c>
      <c r="L657">
        <v>3.5</v>
      </c>
      <c r="M657">
        <v>127</v>
      </c>
      <c r="N657">
        <v>22</v>
      </c>
      <c r="O657">
        <v>9</v>
      </c>
      <c r="P657">
        <v>1</v>
      </c>
      <c r="Q657">
        <v>3</v>
      </c>
      <c r="R657">
        <v>2018</v>
      </c>
      <c r="S657">
        <v>15.882352940000001</v>
      </c>
      <c r="T657">
        <v>2210</v>
      </c>
      <c r="U657">
        <v>136.14285709999999</v>
      </c>
      <c r="V657">
        <v>4.2</v>
      </c>
      <c r="W657">
        <v>48.047499999999999</v>
      </c>
      <c r="X657">
        <v>149.9</v>
      </c>
      <c r="Y657">
        <v>4.3</v>
      </c>
      <c r="Z657">
        <v>28.475882349999999</v>
      </c>
      <c r="AA657">
        <v>81.023913039999996</v>
      </c>
      <c r="AB657">
        <v>3.5</v>
      </c>
      <c r="AC657">
        <v>18.221481480000001</v>
      </c>
      <c r="AD657">
        <v>78.712280699999994</v>
      </c>
      <c r="AE657">
        <f>Table1[[#This Row],[total_price]]/Table1[[#This Row],[qty]]</f>
        <v>81.01111111111112</v>
      </c>
      <c r="AF657">
        <f t="shared" si="10"/>
        <v>78.616901408450701</v>
      </c>
      <c r="AG657">
        <f>IF(ROW()=2, "", AVERAGE(D$2:D656))</f>
        <v>14.418320610687022</v>
      </c>
    </row>
    <row r="658" spans="1:33" x14ac:dyDescent="0.25">
      <c r="A658" t="s">
        <v>88</v>
      </c>
      <c r="B658" t="s">
        <v>48</v>
      </c>
      <c r="C658" s="1">
        <v>43104</v>
      </c>
      <c r="D658">
        <v>13</v>
      </c>
      <c r="E658">
        <v>1042.9000000000001</v>
      </c>
      <c r="F658">
        <v>18.17230769</v>
      </c>
      <c r="G658">
        <v>80.666666669999998</v>
      </c>
      <c r="H658">
        <v>33</v>
      </c>
      <c r="I658">
        <v>256</v>
      </c>
      <c r="J658">
        <v>1</v>
      </c>
      <c r="K658">
        <v>180</v>
      </c>
      <c r="L658">
        <v>3.5</v>
      </c>
      <c r="M658">
        <v>107</v>
      </c>
      <c r="N658">
        <v>21</v>
      </c>
      <c r="O658">
        <v>9</v>
      </c>
      <c r="P658">
        <v>1</v>
      </c>
      <c r="Q658">
        <v>4</v>
      </c>
      <c r="R658">
        <v>2018</v>
      </c>
      <c r="S658">
        <v>7.6470588240000001</v>
      </c>
      <c r="T658">
        <v>2210</v>
      </c>
      <c r="U658">
        <v>120.9230769</v>
      </c>
      <c r="V658">
        <v>4.2</v>
      </c>
      <c r="W658">
        <v>27.253035709999999</v>
      </c>
      <c r="X658">
        <v>149.9</v>
      </c>
      <c r="Y658">
        <v>4.3</v>
      </c>
      <c r="Z658">
        <v>30.227428570000001</v>
      </c>
      <c r="AA658">
        <v>80.666666669999998</v>
      </c>
      <c r="AB658">
        <v>3.5</v>
      </c>
      <c r="AC658">
        <v>18.17230769</v>
      </c>
      <c r="AD658">
        <v>81.023913039999996</v>
      </c>
      <c r="AE658">
        <f>Table1[[#This Row],[total_price]]/Table1[[#This Row],[qty]]</f>
        <v>80.223076923076931</v>
      </c>
      <c r="AF658">
        <f t="shared" si="10"/>
        <v>81.01111111111112</v>
      </c>
      <c r="AG658">
        <f>IF(ROW()=2, "", AVERAGE(D$2:D657))</f>
        <v>14.4375</v>
      </c>
    </row>
    <row r="659" spans="1:33" x14ac:dyDescent="0.25">
      <c r="A659" t="s">
        <v>88</v>
      </c>
      <c r="B659" t="s">
        <v>48</v>
      </c>
      <c r="C659" s="1">
        <v>43105</v>
      </c>
      <c r="D659">
        <v>11</v>
      </c>
      <c r="E659">
        <v>876.9</v>
      </c>
      <c r="F659">
        <v>14.41454545</v>
      </c>
      <c r="G659">
        <v>79.8</v>
      </c>
      <c r="H659">
        <v>33</v>
      </c>
      <c r="I659">
        <v>256</v>
      </c>
      <c r="J659">
        <v>1</v>
      </c>
      <c r="K659">
        <v>180</v>
      </c>
      <c r="L659">
        <v>3.5</v>
      </c>
      <c r="M659">
        <v>78</v>
      </c>
      <c r="N659">
        <v>23</v>
      </c>
      <c r="O659">
        <v>8</v>
      </c>
      <c r="P659">
        <v>3</v>
      </c>
      <c r="Q659">
        <v>5</v>
      </c>
      <c r="R659">
        <v>2018</v>
      </c>
      <c r="S659">
        <v>6.4705882350000001</v>
      </c>
      <c r="T659">
        <v>2210</v>
      </c>
      <c r="U659">
        <v>119</v>
      </c>
      <c r="V659">
        <v>4.2</v>
      </c>
      <c r="W659">
        <v>39.217199999999998</v>
      </c>
      <c r="X659">
        <v>149.9</v>
      </c>
      <c r="Y659">
        <v>4.3</v>
      </c>
      <c r="Z659">
        <v>18.943076919999999</v>
      </c>
      <c r="AA659">
        <v>79.8</v>
      </c>
      <c r="AB659">
        <v>3.5</v>
      </c>
      <c r="AC659">
        <v>14.41454545</v>
      </c>
      <c r="AD659">
        <v>80.666666669999998</v>
      </c>
      <c r="AE659">
        <f>Table1[[#This Row],[total_price]]/Table1[[#This Row],[qty]]</f>
        <v>79.718181818181819</v>
      </c>
      <c r="AF659">
        <f t="shared" si="10"/>
        <v>80.223076923076931</v>
      </c>
      <c r="AG659">
        <f>IF(ROW()=2, "", AVERAGE(D$2:D658))</f>
        <v>14.43531202435312</v>
      </c>
    </row>
    <row r="660" spans="1:33" x14ac:dyDescent="0.25">
      <c r="A660" t="s">
        <v>88</v>
      </c>
      <c r="B660" t="s">
        <v>48</v>
      </c>
      <c r="C660" s="1">
        <v>43106</v>
      </c>
      <c r="D660">
        <v>10</v>
      </c>
      <c r="E660">
        <v>789</v>
      </c>
      <c r="F660">
        <v>17.327999999999999</v>
      </c>
      <c r="G660">
        <v>78.900000000000006</v>
      </c>
      <c r="H660">
        <v>33</v>
      </c>
      <c r="I660">
        <v>256</v>
      </c>
      <c r="J660">
        <v>1</v>
      </c>
      <c r="K660">
        <v>180</v>
      </c>
      <c r="L660">
        <v>3.5</v>
      </c>
      <c r="M660">
        <v>66</v>
      </c>
      <c r="N660">
        <v>21</v>
      </c>
      <c r="O660">
        <v>9</v>
      </c>
      <c r="P660">
        <v>0</v>
      </c>
      <c r="Q660">
        <v>6</v>
      </c>
      <c r="R660">
        <v>2018</v>
      </c>
      <c r="S660">
        <v>5.8823529409999997</v>
      </c>
      <c r="T660">
        <v>2210</v>
      </c>
      <c r="U660">
        <v>114.49115380000001</v>
      </c>
      <c r="V660">
        <v>4.2</v>
      </c>
      <c r="W660">
        <v>53.625555560000002</v>
      </c>
      <c r="X660">
        <v>149.9</v>
      </c>
      <c r="Y660">
        <v>4.3</v>
      </c>
      <c r="Z660">
        <v>27.626666669999999</v>
      </c>
      <c r="AA660">
        <v>78.900000000000006</v>
      </c>
      <c r="AB660">
        <v>3.5</v>
      </c>
      <c r="AC660">
        <v>17.327999999999999</v>
      </c>
      <c r="AD660">
        <v>79.8</v>
      </c>
      <c r="AE660">
        <f>Table1[[#This Row],[total_price]]/Table1[[#This Row],[qty]]</f>
        <v>78.900000000000006</v>
      </c>
      <c r="AF660">
        <f t="shared" si="10"/>
        <v>79.718181818181819</v>
      </c>
      <c r="AG660">
        <f>IF(ROW()=2, "", AVERAGE(D$2:D659))</f>
        <v>14.430091185410335</v>
      </c>
    </row>
    <row r="661" spans="1:33" x14ac:dyDescent="0.25">
      <c r="A661" t="s">
        <v>88</v>
      </c>
      <c r="B661" t="s">
        <v>48</v>
      </c>
      <c r="C661" s="1">
        <v>43107</v>
      </c>
      <c r="D661">
        <v>7</v>
      </c>
      <c r="E661">
        <v>545.29999999999995</v>
      </c>
      <c r="F661">
        <v>14.638571430000001</v>
      </c>
      <c r="G661">
        <v>77.900000000000006</v>
      </c>
      <c r="H661">
        <v>33</v>
      </c>
      <c r="I661">
        <v>256</v>
      </c>
      <c r="J661">
        <v>1</v>
      </c>
      <c r="K661">
        <v>180</v>
      </c>
      <c r="L661">
        <v>3.5</v>
      </c>
      <c r="M661">
        <v>43</v>
      </c>
      <c r="N661">
        <v>22</v>
      </c>
      <c r="O661">
        <v>9</v>
      </c>
      <c r="P661">
        <v>1</v>
      </c>
      <c r="Q661">
        <v>7</v>
      </c>
      <c r="R661">
        <v>2018</v>
      </c>
      <c r="S661">
        <v>4.1176470590000003</v>
      </c>
      <c r="T661">
        <v>2210</v>
      </c>
      <c r="U661">
        <v>119.99</v>
      </c>
      <c r="V661">
        <v>4.2</v>
      </c>
      <c r="W661">
        <v>48.626666669999999</v>
      </c>
      <c r="X661">
        <v>149.9</v>
      </c>
      <c r="Y661">
        <v>4.3</v>
      </c>
      <c r="Z661">
        <v>33.571538459999999</v>
      </c>
      <c r="AA661">
        <v>77.900000000000006</v>
      </c>
      <c r="AB661">
        <v>3.5</v>
      </c>
      <c r="AC661">
        <v>14.638571430000001</v>
      </c>
      <c r="AD661">
        <v>78.900000000000006</v>
      </c>
      <c r="AE661">
        <f>Table1[[#This Row],[total_price]]/Table1[[#This Row],[qty]]</f>
        <v>77.899999999999991</v>
      </c>
      <c r="AF661">
        <f t="shared" si="10"/>
        <v>78.900000000000006</v>
      </c>
      <c r="AG661">
        <f>IF(ROW()=2, "", AVERAGE(D$2:D660))</f>
        <v>14.423368740515933</v>
      </c>
    </row>
    <row r="662" spans="1:33" x14ac:dyDescent="0.25">
      <c r="A662" t="s">
        <v>88</v>
      </c>
      <c r="B662" t="s">
        <v>48</v>
      </c>
      <c r="C662" s="1">
        <v>43108</v>
      </c>
      <c r="D662">
        <v>2</v>
      </c>
      <c r="E662">
        <v>155.80000000000001</v>
      </c>
      <c r="F662">
        <v>13.414999999999999</v>
      </c>
      <c r="G662">
        <v>77.900000000000006</v>
      </c>
      <c r="H662">
        <v>33</v>
      </c>
      <c r="I662">
        <v>256</v>
      </c>
      <c r="J662">
        <v>1</v>
      </c>
      <c r="K662">
        <v>180</v>
      </c>
      <c r="L662">
        <v>3.5</v>
      </c>
      <c r="M662">
        <v>18</v>
      </c>
      <c r="N662">
        <v>23</v>
      </c>
      <c r="O662">
        <v>8</v>
      </c>
      <c r="P662">
        <v>1</v>
      </c>
      <c r="Q662">
        <v>8</v>
      </c>
      <c r="R662">
        <v>2018</v>
      </c>
      <c r="S662">
        <v>1.1764705879999999</v>
      </c>
      <c r="T662">
        <v>2210</v>
      </c>
      <c r="U662">
        <v>119.99</v>
      </c>
      <c r="V662">
        <v>4.2</v>
      </c>
      <c r="W662">
        <v>39.045999999999999</v>
      </c>
      <c r="X662">
        <v>149.9</v>
      </c>
      <c r="Y662">
        <v>4.3</v>
      </c>
      <c r="Z662">
        <v>24.76</v>
      </c>
      <c r="AA662">
        <v>77.900000000000006</v>
      </c>
      <c r="AB662">
        <v>3.5</v>
      </c>
      <c r="AC662">
        <v>13.414999999999999</v>
      </c>
      <c r="AD662">
        <v>77.900000000000006</v>
      </c>
      <c r="AE662">
        <f>Table1[[#This Row],[total_price]]/Table1[[#This Row],[qty]]</f>
        <v>77.900000000000006</v>
      </c>
      <c r="AF662">
        <f t="shared" si="10"/>
        <v>77.899999999999991</v>
      </c>
      <c r="AG662">
        <f>IF(ROW()=2, "", AVERAGE(D$2:D661))</f>
        <v>14.412121212121212</v>
      </c>
    </row>
    <row r="663" spans="1:33" x14ac:dyDescent="0.25">
      <c r="A663" t="s">
        <v>89</v>
      </c>
      <c r="B663" t="s">
        <v>31</v>
      </c>
      <c r="C663" s="1">
        <v>42745</v>
      </c>
      <c r="D663">
        <v>29</v>
      </c>
      <c r="E663">
        <v>1331.1</v>
      </c>
      <c r="F663">
        <v>13.882413789999999</v>
      </c>
      <c r="G663">
        <v>45.9</v>
      </c>
      <c r="H663">
        <v>38</v>
      </c>
      <c r="I663">
        <v>735</v>
      </c>
      <c r="J663">
        <v>5</v>
      </c>
      <c r="K663">
        <v>800</v>
      </c>
      <c r="L663">
        <v>4.2</v>
      </c>
      <c r="M663">
        <v>50</v>
      </c>
      <c r="N663">
        <v>22</v>
      </c>
      <c r="O663">
        <v>9</v>
      </c>
      <c r="P663">
        <v>2</v>
      </c>
      <c r="Q663">
        <v>10</v>
      </c>
      <c r="R663">
        <v>2017</v>
      </c>
      <c r="S663">
        <v>39.7260274</v>
      </c>
      <c r="T663">
        <v>8000</v>
      </c>
      <c r="U663">
        <v>89.9</v>
      </c>
      <c r="V663">
        <v>3.9</v>
      </c>
      <c r="W663">
        <v>21.57214286</v>
      </c>
      <c r="X663">
        <v>45.9</v>
      </c>
      <c r="Y663">
        <v>4.2</v>
      </c>
      <c r="Z663">
        <v>13.882413789999999</v>
      </c>
      <c r="AA663">
        <v>45.95</v>
      </c>
      <c r="AB663">
        <v>4</v>
      </c>
      <c r="AC663">
        <v>15.1</v>
      </c>
      <c r="AD663">
        <v>45.85</v>
      </c>
      <c r="AE663">
        <f>Table1[[#This Row],[total_price]]/Table1[[#This Row],[qty]]</f>
        <v>45.9</v>
      </c>
      <c r="AF663" t="str">
        <f t="shared" si="10"/>
        <v/>
      </c>
      <c r="AG663">
        <f>IF(ROW()=2, "", AVERAGE(D$2:D662))</f>
        <v>14.393343419062028</v>
      </c>
    </row>
    <row r="664" spans="1:33" x14ac:dyDescent="0.25">
      <c r="A664" t="s">
        <v>89</v>
      </c>
      <c r="B664" t="s">
        <v>31</v>
      </c>
      <c r="C664" s="1">
        <v>42746</v>
      </c>
      <c r="D664">
        <v>32</v>
      </c>
      <c r="E664">
        <v>1421.67</v>
      </c>
      <c r="F664">
        <v>13.95875</v>
      </c>
      <c r="G664">
        <v>44.154444439999999</v>
      </c>
      <c r="H664">
        <v>38</v>
      </c>
      <c r="I664">
        <v>735</v>
      </c>
      <c r="J664">
        <v>5</v>
      </c>
      <c r="K664">
        <v>800</v>
      </c>
      <c r="L664">
        <v>4.2</v>
      </c>
      <c r="M664">
        <v>97</v>
      </c>
      <c r="N664">
        <v>22</v>
      </c>
      <c r="O664">
        <v>8</v>
      </c>
      <c r="P664">
        <v>4</v>
      </c>
      <c r="Q664">
        <v>11</v>
      </c>
      <c r="R664">
        <v>2017</v>
      </c>
      <c r="S664">
        <v>43.835616440000003</v>
      </c>
      <c r="T664">
        <v>8000</v>
      </c>
      <c r="U664">
        <v>89.9</v>
      </c>
      <c r="V664">
        <v>3.9</v>
      </c>
      <c r="W664">
        <v>16.294</v>
      </c>
      <c r="X664">
        <v>44.154444439999999</v>
      </c>
      <c r="Y664">
        <v>4.2</v>
      </c>
      <c r="Z664">
        <v>13.95875</v>
      </c>
      <c r="AA664">
        <v>40.531818180000002</v>
      </c>
      <c r="AB664">
        <v>4</v>
      </c>
      <c r="AC664">
        <v>15.832727269999999</v>
      </c>
      <c r="AD664">
        <v>45.9</v>
      </c>
      <c r="AE664">
        <f>Table1[[#This Row],[total_price]]/Table1[[#This Row],[qty]]</f>
        <v>44.427187500000002</v>
      </c>
      <c r="AF664">
        <f t="shared" si="10"/>
        <v>45.9</v>
      </c>
      <c r="AG664">
        <f>IF(ROW()=2, "", AVERAGE(D$2:D663))</f>
        <v>14.415407854984894</v>
      </c>
    </row>
    <row r="665" spans="1:33" x14ac:dyDescent="0.25">
      <c r="A665" t="s">
        <v>89</v>
      </c>
      <c r="B665" t="s">
        <v>31</v>
      </c>
      <c r="C665" s="1">
        <v>42747</v>
      </c>
      <c r="D665">
        <v>12</v>
      </c>
      <c r="E665">
        <v>550.79999999999995</v>
      </c>
      <c r="F665">
        <v>13.6875</v>
      </c>
      <c r="G665">
        <v>45.9</v>
      </c>
      <c r="H665">
        <v>38</v>
      </c>
      <c r="I665">
        <v>735</v>
      </c>
      <c r="J665">
        <v>5</v>
      </c>
      <c r="K665">
        <v>800</v>
      </c>
      <c r="L665">
        <v>4.2</v>
      </c>
      <c r="M665">
        <v>41</v>
      </c>
      <c r="N665">
        <v>21</v>
      </c>
      <c r="O665">
        <v>10</v>
      </c>
      <c r="P665">
        <v>1</v>
      </c>
      <c r="Q665">
        <v>12</v>
      </c>
      <c r="R665">
        <v>2017</v>
      </c>
      <c r="S665">
        <v>16.438356160000001</v>
      </c>
      <c r="T665">
        <v>8000</v>
      </c>
      <c r="U665">
        <v>88.488235290000006</v>
      </c>
      <c r="V665">
        <v>3.9</v>
      </c>
      <c r="W665">
        <v>18.89833333</v>
      </c>
      <c r="X665">
        <v>45.9</v>
      </c>
      <c r="Y665">
        <v>4.2</v>
      </c>
      <c r="Z665">
        <v>13.6875</v>
      </c>
      <c r="AA665">
        <v>39.99</v>
      </c>
      <c r="AB665">
        <v>4</v>
      </c>
      <c r="AC665">
        <v>15.23</v>
      </c>
      <c r="AD665">
        <v>44.154444439999999</v>
      </c>
      <c r="AE665">
        <f>Table1[[#This Row],[total_price]]/Table1[[#This Row],[qty]]</f>
        <v>45.9</v>
      </c>
      <c r="AF665">
        <f t="shared" si="10"/>
        <v>44.427187500000002</v>
      </c>
      <c r="AG665">
        <f>IF(ROW()=2, "", AVERAGE(D$2:D664))</f>
        <v>14.441930618401207</v>
      </c>
    </row>
    <row r="666" spans="1:33" x14ac:dyDescent="0.25">
      <c r="A666" t="s">
        <v>89</v>
      </c>
      <c r="B666" t="s">
        <v>31</v>
      </c>
      <c r="C666" s="1">
        <v>43101</v>
      </c>
      <c r="D666">
        <v>19</v>
      </c>
      <c r="E666">
        <v>872.1</v>
      </c>
      <c r="F666">
        <v>14.18210526</v>
      </c>
      <c r="G666">
        <v>45.9</v>
      </c>
      <c r="H666">
        <v>38</v>
      </c>
      <c r="I666">
        <v>735</v>
      </c>
      <c r="J666">
        <v>5</v>
      </c>
      <c r="K666">
        <v>800</v>
      </c>
      <c r="L666">
        <v>4.2</v>
      </c>
      <c r="M666">
        <v>62</v>
      </c>
      <c r="N666">
        <v>23</v>
      </c>
      <c r="O666">
        <v>8</v>
      </c>
      <c r="P666">
        <v>2</v>
      </c>
      <c r="Q666">
        <v>1</v>
      </c>
      <c r="R666">
        <v>2018</v>
      </c>
      <c r="S666">
        <v>32.758620690000001</v>
      </c>
      <c r="T666">
        <v>8000</v>
      </c>
      <c r="U666">
        <v>86.9</v>
      </c>
      <c r="V666">
        <v>3.9</v>
      </c>
      <c r="W666">
        <v>19.383529410000001</v>
      </c>
      <c r="X666">
        <v>45.9</v>
      </c>
      <c r="Y666">
        <v>4.2</v>
      </c>
      <c r="Z666">
        <v>14.18210526</v>
      </c>
      <c r="AA666">
        <v>39.99</v>
      </c>
      <c r="AB666">
        <v>4</v>
      </c>
      <c r="AC666">
        <v>16.533684210000001</v>
      </c>
      <c r="AD666">
        <v>45.9</v>
      </c>
      <c r="AE666">
        <f>Table1[[#This Row],[total_price]]/Table1[[#This Row],[qty]]</f>
        <v>45.9</v>
      </c>
      <c r="AF666">
        <f t="shared" si="10"/>
        <v>45.9</v>
      </c>
      <c r="AG666">
        <f>IF(ROW()=2, "", AVERAGE(D$2:D665))</f>
        <v>14.438253012048193</v>
      </c>
    </row>
    <row r="667" spans="1:33" x14ac:dyDescent="0.25">
      <c r="A667" t="s">
        <v>89</v>
      </c>
      <c r="B667" t="s">
        <v>31</v>
      </c>
      <c r="C667" s="1">
        <v>43102</v>
      </c>
      <c r="D667">
        <v>16</v>
      </c>
      <c r="E667">
        <v>734.4</v>
      </c>
      <c r="F667">
        <v>12.172499999999999</v>
      </c>
      <c r="G667">
        <v>45.9</v>
      </c>
      <c r="H667">
        <v>38</v>
      </c>
      <c r="I667">
        <v>735</v>
      </c>
      <c r="J667">
        <v>5</v>
      </c>
      <c r="K667">
        <v>800</v>
      </c>
      <c r="L667">
        <v>4.2</v>
      </c>
      <c r="M667">
        <v>62</v>
      </c>
      <c r="N667">
        <v>20</v>
      </c>
      <c r="O667">
        <v>8</v>
      </c>
      <c r="P667">
        <v>2</v>
      </c>
      <c r="Q667">
        <v>2</v>
      </c>
      <c r="R667">
        <v>2018</v>
      </c>
      <c r="S667">
        <v>27.586206900000001</v>
      </c>
      <c r="T667">
        <v>8000</v>
      </c>
      <c r="U667">
        <v>86.9</v>
      </c>
      <c r="V667">
        <v>3.9</v>
      </c>
      <c r="W667">
        <v>19.20909091</v>
      </c>
      <c r="X667">
        <v>45.9</v>
      </c>
      <c r="Y667">
        <v>4.2</v>
      </c>
      <c r="Z667">
        <v>12.172499999999999</v>
      </c>
      <c r="AA667">
        <v>39.99</v>
      </c>
      <c r="AB667">
        <v>4</v>
      </c>
      <c r="AC667">
        <v>13.74944444</v>
      </c>
      <c r="AD667">
        <v>45.9</v>
      </c>
      <c r="AE667">
        <f>Table1[[#This Row],[total_price]]/Table1[[#This Row],[qty]]</f>
        <v>45.9</v>
      </c>
      <c r="AF667">
        <f t="shared" si="10"/>
        <v>45.9</v>
      </c>
      <c r="AG667">
        <f>IF(ROW()=2, "", AVERAGE(D$2:D666))</f>
        <v>14.445112781954887</v>
      </c>
    </row>
    <row r="668" spans="1:33" x14ac:dyDescent="0.25">
      <c r="A668" t="s">
        <v>89</v>
      </c>
      <c r="B668" t="s">
        <v>31</v>
      </c>
      <c r="C668" s="1">
        <v>43103</v>
      </c>
      <c r="D668">
        <v>8</v>
      </c>
      <c r="E668">
        <v>383.2</v>
      </c>
      <c r="F668">
        <v>15.22625</v>
      </c>
      <c r="G668">
        <v>47.9</v>
      </c>
      <c r="H668">
        <v>38</v>
      </c>
      <c r="I668">
        <v>735</v>
      </c>
      <c r="J668">
        <v>5</v>
      </c>
      <c r="K668">
        <v>800</v>
      </c>
      <c r="L668">
        <v>4.2</v>
      </c>
      <c r="M668">
        <v>43</v>
      </c>
      <c r="N668">
        <v>22</v>
      </c>
      <c r="O668">
        <v>9</v>
      </c>
      <c r="P668">
        <v>1</v>
      </c>
      <c r="Q668">
        <v>3</v>
      </c>
      <c r="R668">
        <v>2018</v>
      </c>
      <c r="S668">
        <v>13.79310345</v>
      </c>
      <c r="T668">
        <v>8000</v>
      </c>
      <c r="U668">
        <v>86.9</v>
      </c>
      <c r="V668">
        <v>3.9</v>
      </c>
      <c r="W668">
        <v>19.982352939999998</v>
      </c>
      <c r="X668">
        <v>47.9</v>
      </c>
      <c r="Y668">
        <v>4.2</v>
      </c>
      <c r="Z668">
        <v>15.22625</v>
      </c>
      <c r="AA668">
        <v>39.99</v>
      </c>
      <c r="AB668">
        <v>4</v>
      </c>
      <c r="AC668">
        <v>16.462352939999999</v>
      </c>
      <c r="AD668">
        <v>45.9</v>
      </c>
      <c r="AE668">
        <f>Table1[[#This Row],[total_price]]/Table1[[#This Row],[qty]]</f>
        <v>47.9</v>
      </c>
      <c r="AF668">
        <f t="shared" si="10"/>
        <v>45.9</v>
      </c>
      <c r="AG668">
        <f>IF(ROW()=2, "", AVERAGE(D$2:D667))</f>
        <v>14.447447447447447</v>
      </c>
    </row>
    <row r="669" spans="1:33" x14ac:dyDescent="0.25">
      <c r="A669" t="s">
        <v>89</v>
      </c>
      <c r="B669" t="s">
        <v>31</v>
      </c>
      <c r="C669" s="1">
        <v>43104</v>
      </c>
      <c r="D669">
        <v>7</v>
      </c>
      <c r="E669">
        <v>335.3</v>
      </c>
      <c r="F669">
        <v>19.08428571</v>
      </c>
      <c r="G669">
        <v>47.9</v>
      </c>
      <c r="H669">
        <v>38</v>
      </c>
      <c r="I669">
        <v>735</v>
      </c>
      <c r="J669">
        <v>5</v>
      </c>
      <c r="K669">
        <v>800</v>
      </c>
      <c r="L669">
        <v>4.2</v>
      </c>
      <c r="M669">
        <v>34</v>
      </c>
      <c r="N669">
        <v>21</v>
      </c>
      <c r="O669">
        <v>9</v>
      </c>
      <c r="P669">
        <v>1</v>
      </c>
      <c r="Q669">
        <v>4</v>
      </c>
      <c r="R669">
        <v>2018</v>
      </c>
      <c r="S669">
        <v>12.068965520000001</v>
      </c>
      <c r="T669">
        <v>8000</v>
      </c>
      <c r="U669">
        <v>85.045000000000002</v>
      </c>
      <c r="V669">
        <v>3.9</v>
      </c>
      <c r="W669">
        <v>12.94</v>
      </c>
      <c r="X669">
        <v>47.9</v>
      </c>
      <c r="Y669">
        <v>4.2</v>
      </c>
      <c r="Z669">
        <v>19.08428571</v>
      </c>
      <c r="AA669">
        <v>39.99</v>
      </c>
      <c r="AB669">
        <v>4</v>
      </c>
      <c r="AC669">
        <v>14.236153850000001</v>
      </c>
      <c r="AD669">
        <v>47.9</v>
      </c>
      <c r="AE669">
        <f>Table1[[#This Row],[total_price]]/Table1[[#This Row],[qty]]</f>
        <v>47.9</v>
      </c>
      <c r="AF669">
        <f t="shared" si="10"/>
        <v>47.9</v>
      </c>
      <c r="AG669">
        <f>IF(ROW()=2, "", AVERAGE(D$2:D668))</f>
        <v>14.437781109445277</v>
      </c>
    </row>
    <row r="670" spans="1:33" x14ac:dyDescent="0.25">
      <c r="A670" t="s">
        <v>89</v>
      </c>
      <c r="B670" t="s">
        <v>31</v>
      </c>
      <c r="C670" s="1">
        <v>43105</v>
      </c>
      <c r="D670">
        <v>2</v>
      </c>
      <c r="E670">
        <v>95.8</v>
      </c>
      <c r="F670">
        <v>12.055</v>
      </c>
      <c r="G670">
        <v>47.9</v>
      </c>
      <c r="H670">
        <v>38</v>
      </c>
      <c r="I670">
        <v>735</v>
      </c>
      <c r="J670">
        <v>5</v>
      </c>
      <c r="K670">
        <v>800</v>
      </c>
      <c r="L670">
        <v>4.2</v>
      </c>
      <c r="M670">
        <v>57</v>
      </c>
      <c r="N670">
        <v>23</v>
      </c>
      <c r="O670">
        <v>8</v>
      </c>
      <c r="P670">
        <v>3</v>
      </c>
      <c r="Q670">
        <v>5</v>
      </c>
      <c r="R670">
        <v>2018</v>
      </c>
      <c r="S670">
        <v>3.448275862</v>
      </c>
      <c r="T670">
        <v>8000</v>
      </c>
      <c r="U670">
        <v>83.64961538</v>
      </c>
      <c r="V670">
        <v>3.9</v>
      </c>
      <c r="W670">
        <v>16.78038462</v>
      </c>
      <c r="X670">
        <v>47.9</v>
      </c>
      <c r="Y670">
        <v>4.2</v>
      </c>
      <c r="Z670">
        <v>12.055</v>
      </c>
      <c r="AA670">
        <v>39.99</v>
      </c>
      <c r="AB670">
        <v>4</v>
      </c>
      <c r="AC670">
        <v>10.25631579</v>
      </c>
      <c r="AD670">
        <v>47.9</v>
      </c>
      <c r="AE670">
        <f>Table1[[#This Row],[total_price]]/Table1[[#This Row],[qty]]</f>
        <v>47.9</v>
      </c>
      <c r="AF670">
        <f t="shared" si="10"/>
        <v>47.9</v>
      </c>
      <c r="AG670">
        <f>IF(ROW()=2, "", AVERAGE(D$2:D669))</f>
        <v>14.426646706586826</v>
      </c>
    </row>
    <row r="671" spans="1:33" x14ac:dyDescent="0.25">
      <c r="A671" t="s">
        <v>89</v>
      </c>
      <c r="B671" t="s">
        <v>31</v>
      </c>
      <c r="C671" s="1">
        <v>43106</v>
      </c>
      <c r="D671">
        <v>4</v>
      </c>
      <c r="E671">
        <v>191.6</v>
      </c>
      <c r="F671">
        <v>12.637499999999999</v>
      </c>
      <c r="G671">
        <v>47.9</v>
      </c>
      <c r="H671">
        <v>38</v>
      </c>
      <c r="I671">
        <v>735</v>
      </c>
      <c r="J671">
        <v>5</v>
      </c>
      <c r="K671">
        <v>800</v>
      </c>
      <c r="L671">
        <v>4.2</v>
      </c>
      <c r="M671">
        <v>43</v>
      </c>
      <c r="N671">
        <v>21</v>
      </c>
      <c r="O671">
        <v>9</v>
      </c>
      <c r="P671">
        <v>0</v>
      </c>
      <c r="Q671">
        <v>6</v>
      </c>
      <c r="R671">
        <v>2018</v>
      </c>
      <c r="S671">
        <v>6.896551724</v>
      </c>
      <c r="T671">
        <v>8000</v>
      </c>
      <c r="U671">
        <v>79.900000000000006</v>
      </c>
      <c r="V671">
        <v>3.9</v>
      </c>
      <c r="W671">
        <v>23.005652170000001</v>
      </c>
      <c r="X671">
        <v>47.9</v>
      </c>
      <c r="Y671">
        <v>4.2</v>
      </c>
      <c r="Z671">
        <v>12.637499999999999</v>
      </c>
      <c r="AA671">
        <v>39.99</v>
      </c>
      <c r="AB671">
        <v>4</v>
      </c>
      <c r="AC671">
        <v>13.997999999999999</v>
      </c>
      <c r="AD671">
        <v>47.9</v>
      </c>
      <c r="AE671">
        <f>Table1[[#This Row],[total_price]]/Table1[[#This Row],[qty]]</f>
        <v>47.9</v>
      </c>
      <c r="AF671">
        <f t="shared" si="10"/>
        <v>47.9</v>
      </c>
      <c r="AG671">
        <f>IF(ROW()=2, "", AVERAGE(D$2:D670))</f>
        <v>14.408071748878923</v>
      </c>
    </row>
    <row r="672" spans="1:33" x14ac:dyDescent="0.25">
      <c r="A672" t="s">
        <v>89</v>
      </c>
      <c r="B672" t="s">
        <v>31</v>
      </c>
      <c r="C672" s="1">
        <v>43107</v>
      </c>
      <c r="D672">
        <v>2</v>
      </c>
      <c r="E672">
        <v>95.8</v>
      </c>
      <c r="F672">
        <v>24.69</v>
      </c>
      <c r="G672">
        <v>47.9</v>
      </c>
      <c r="H672">
        <v>38</v>
      </c>
      <c r="I672">
        <v>735</v>
      </c>
      <c r="J672">
        <v>5</v>
      </c>
      <c r="K672">
        <v>800</v>
      </c>
      <c r="L672">
        <v>4.2</v>
      </c>
      <c r="M672">
        <v>26</v>
      </c>
      <c r="N672">
        <v>22</v>
      </c>
      <c r="O672">
        <v>9</v>
      </c>
      <c r="P672">
        <v>1</v>
      </c>
      <c r="Q672">
        <v>7</v>
      </c>
      <c r="R672">
        <v>2018</v>
      </c>
      <c r="S672">
        <v>3.448275862</v>
      </c>
      <c r="T672">
        <v>8000</v>
      </c>
      <c r="U672">
        <v>77.933333329999996</v>
      </c>
      <c r="V672">
        <v>3.9</v>
      </c>
      <c r="W672">
        <v>19.952000000000002</v>
      </c>
      <c r="X672">
        <v>47.9</v>
      </c>
      <c r="Y672">
        <v>4.2</v>
      </c>
      <c r="Z672">
        <v>24.69</v>
      </c>
      <c r="AA672">
        <v>39.99</v>
      </c>
      <c r="AB672">
        <v>4</v>
      </c>
      <c r="AC672">
        <v>20.4175</v>
      </c>
      <c r="AD672">
        <v>47.9</v>
      </c>
      <c r="AE672">
        <f>Table1[[#This Row],[total_price]]/Table1[[#This Row],[qty]]</f>
        <v>47.9</v>
      </c>
      <c r="AF672">
        <f t="shared" si="10"/>
        <v>47.9</v>
      </c>
      <c r="AG672">
        <f>IF(ROW()=2, "", AVERAGE(D$2:D671))</f>
        <v>14.392537313432836</v>
      </c>
    </row>
    <row r="673" spans="1:33" x14ac:dyDescent="0.25">
      <c r="A673" t="s">
        <v>90</v>
      </c>
      <c r="B673" t="s">
        <v>31</v>
      </c>
      <c r="C673" s="1">
        <v>42740</v>
      </c>
      <c r="D673">
        <v>1</v>
      </c>
      <c r="E673">
        <v>215</v>
      </c>
      <c r="F673">
        <v>8.76</v>
      </c>
      <c r="G673">
        <v>215</v>
      </c>
      <c r="H673">
        <v>56</v>
      </c>
      <c r="I673">
        <v>162</v>
      </c>
      <c r="J673">
        <v>5</v>
      </c>
      <c r="K673">
        <v>9750</v>
      </c>
      <c r="L673">
        <v>4.4000000000000004</v>
      </c>
      <c r="M673">
        <v>57</v>
      </c>
      <c r="N673">
        <v>23</v>
      </c>
      <c r="O673">
        <v>8</v>
      </c>
      <c r="P673">
        <v>1</v>
      </c>
      <c r="Q673">
        <v>5</v>
      </c>
      <c r="R673">
        <v>2017</v>
      </c>
      <c r="S673">
        <v>0.64935064899999995</v>
      </c>
      <c r="T673">
        <v>12600</v>
      </c>
      <c r="U673">
        <v>89.9</v>
      </c>
      <c r="V673">
        <v>3.9</v>
      </c>
      <c r="W673">
        <v>15.011896549999999</v>
      </c>
      <c r="X673">
        <v>215</v>
      </c>
      <c r="Y673">
        <v>4.4000000000000004</v>
      </c>
      <c r="Z673">
        <v>8.76</v>
      </c>
      <c r="AA673">
        <v>45.95</v>
      </c>
      <c r="AB673">
        <v>4</v>
      </c>
      <c r="AC673">
        <v>15.1</v>
      </c>
      <c r="AD673">
        <v>214.95</v>
      </c>
      <c r="AE673">
        <f>Table1[[#This Row],[total_price]]/Table1[[#This Row],[qty]]</f>
        <v>215</v>
      </c>
      <c r="AF673" t="str">
        <f t="shared" si="10"/>
        <v/>
      </c>
      <c r="AG673">
        <f>IF(ROW()=2, "", AVERAGE(D$2:D672))</f>
        <v>14.374068554396423</v>
      </c>
    </row>
    <row r="674" spans="1:33" x14ac:dyDescent="0.25">
      <c r="A674" t="s">
        <v>90</v>
      </c>
      <c r="B674" t="s">
        <v>31</v>
      </c>
      <c r="C674" s="1">
        <v>42741</v>
      </c>
      <c r="D674">
        <v>10</v>
      </c>
      <c r="E674">
        <v>2090</v>
      </c>
      <c r="F674">
        <v>21.321999999999999</v>
      </c>
      <c r="G674">
        <v>209</v>
      </c>
      <c r="H674">
        <v>56</v>
      </c>
      <c r="I674">
        <v>162</v>
      </c>
      <c r="J674">
        <v>5</v>
      </c>
      <c r="K674">
        <v>9750</v>
      </c>
      <c r="L674">
        <v>4.4000000000000004</v>
      </c>
      <c r="M674">
        <v>61</v>
      </c>
      <c r="N674">
        <v>22</v>
      </c>
      <c r="O674">
        <v>8</v>
      </c>
      <c r="P674">
        <v>1</v>
      </c>
      <c r="Q674">
        <v>6</v>
      </c>
      <c r="R674">
        <v>2017</v>
      </c>
      <c r="S674">
        <v>6.493506494</v>
      </c>
      <c r="T674">
        <v>12600</v>
      </c>
      <c r="U674">
        <v>89.9</v>
      </c>
      <c r="V674">
        <v>3.9</v>
      </c>
      <c r="W674">
        <v>14.769215689999999</v>
      </c>
      <c r="X674">
        <v>209</v>
      </c>
      <c r="Y674">
        <v>4.4000000000000004</v>
      </c>
      <c r="Z674">
        <v>21.321999999999999</v>
      </c>
      <c r="AA674">
        <v>45.95</v>
      </c>
      <c r="AB674">
        <v>4</v>
      </c>
      <c r="AC674">
        <v>12.93333333</v>
      </c>
      <c r="AD674">
        <v>215</v>
      </c>
      <c r="AE674">
        <f>Table1[[#This Row],[total_price]]/Table1[[#This Row],[qty]]</f>
        <v>209</v>
      </c>
      <c r="AF674">
        <f t="shared" si="10"/>
        <v>215</v>
      </c>
      <c r="AG674">
        <f>IF(ROW()=2, "", AVERAGE(D$2:D673))</f>
        <v>14.354166666666666</v>
      </c>
    </row>
    <row r="675" spans="1:33" x14ac:dyDescent="0.25">
      <c r="A675" t="s">
        <v>90</v>
      </c>
      <c r="B675" t="s">
        <v>31</v>
      </c>
      <c r="C675" s="1">
        <v>42742</v>
      </c>
      <c r="D675">
        <v>59</v>
      </c>
      <c r="E675">
        <v>12095</v>
      </c>
      <c r="F675">
        <v>22.195932200000001</v>
      </c>
      <c r="G675">
        <v>205</v>
      </c>
      <c r="H675">
        <v>56</v>
      </c>
      <c r="I675">
        <v>162</v>
      </c>
      <c r="J675">
        <v>5</v>
      </c>
      <c r="K675">
        <v>9750</v>
      </c>
      <c r="L675">
        <v>4.4000000000000004</v>
      </c>
      <c r="M675">
        <v>123</v>
      </c>
      <c r="N675">
        <v>21</v>
      </c>
      <c r="O675">
        <v>10</v>
      </c>
      <c r="P675">
        <v>1</v>
      </c>
      <c r="Q675">
        <v>7</v>
      </c>
      <c r="R675">
        <v>2017</v>
      </c>
      <c r="S675">
        <v>38.311688310000001</v>
      </c>
      <c r="T675">
        <v>12600</v>
      </c>
      <c r="U675">
        <v>89.9</v>
      </c>
      <c r="V675">
        <v>3.9</v>
      </c>
      <c r="W675">
        <v>13.993833329999999</v>
      </c>
      <c r="X675">
        <v>205</v>
      </c>
      <c r="Y675">
        <v>4.4000000000000004</v>
      </c>
      <c r="Z675">
        <v>22.195932200000001</v>
      </c>
      <c r="AA675">
        <v>45.95</v>
      </c>
      <c r="AB675">
        <v>4</v>
      </c>
      <c r="AC675">
        <v>14.84</v>
      </c>
      <c r="AD675">
        <v>209</v>
      </c>
      <c r="AE675">
        <f>Table1[[#This Row],[total_price]]/Table1[[#This Row],[qty]]</f>
        <v>205</v>
      </c>
      <c r="AF675">
        <f t="shared" si="10"/>
        <v>209</v>
      </c>
      <c r="AG675">
        <f>IF(ROW()=2, "", AVERAGE(D$2:D674))</f>
        <v>14.347696879643388</v>
      </c>
    </row>
    <row r="676" spans="1:33" x14ac:dyDescent="0.25">
      <c r="A676" t="s">
        <v>90</v>
      </c>
      <c r="B676" t="s">
        <v>31</v>
      </c>
      <c r="C676" s="1">
        <v>42743</v>
      </c>
      <c r="D676">
        <v>52</v>
      </c>
      <c r="E676">
        <v>10375</v>
      </c>
      <c r="F676">
        <v>19.41288462</v>
      </c>
      <c r="G676">
        <v>199.50980390000001</v>
      </c>
      <c r="H676">
        <v>56</v>
      </c>
      <c r="I676">
        <v>162</v>
      </c>
      <c r="J676">
        <v>5</v>
      </c>
      <c r="K676">
        <v>9750</v>
      </c>
      <c r="L676">
        <v>4.4000000000000004</v>
      </c>
      <c r="M676">
        <v>90</v>
      </c>
      <c r="N676">
        <v>23</v>
      </c>
      <c r="O676">
        <v>8</v>
      </c>
      <c r="P676">
        <v>1</v>
      </c>
      <c r="Q676">
        <v>8</v>
      </c>
      <c r="R676">
        <v>2017</v>
      </c>
      <c r="S676">
        <v>33.766233769999999</v>
      </c>
      <c r="T676">
        <v>12600</v>
      </c>
      <c r="U676">
        <v>89.9</v>
      </c>
      <c r="V676">
        <v>3.9</v>
      </c>
      <c r="W676">
        <v>14.65675676</v>
      </c>
      <c r="X676">
        <v>199.50980390000001</v>
      </c>
      <c r="Y676">
        <v>4.4000000000000004</v>
      </c>
      <c r="Z676">
        <v>19.41288462</v>
      </c>
      <c r="AA676">
        <v>45.95</v>
      </c>
      <c r="AB676">
        <v>4</v>
      </c>
      <c r="AC676">
        <v>14.2875</v>
      </c>
      <c r="AD676">
        <v>205</v>
      </c>
      <c r="AE676">
        <f>Table1[[#This Row],[total_price]]/Table1[[#This Row],[qty]]</f>
        <v>199.51923076923077</v>
      </c>
      <c r="AF676">
        <f t="shared" si="10"/>
        <v>205</v>
      </c>
      <c r="AG676">
        <f>IF(ROW()=2, "", AVERAGE(D$2:D675))</f>
        <v>14.413946587537092</v>
      </c>
    </row>
    <row r="677" spans="1:33" x14ac:dyDescent="0.25">
      <c r="A677" t="s">
        <v>90</v>
      </c>
      <c r="B677" t="s">
        <v>31</v>
      </c>
      <c r="C677" s="1">
        <v>42744</v>
      </c>
      <c r="D677">
        <v>32</v>
      </c>
      <c r="E677">
        <v>5222.3599999999997</v>
      </c>
      <c r="F677">
        <v>24.3246875</v>
      </c>
      <c r="G677">
        <v>163.39870970000001</v>
      </c>
      <c r="H677">
        <v>56</v>
      </c>
      <c r="I677">
        <v>162</v>
      </c>
      <c r="J677">
        <v>5</v>
      </c>
      <c r="K677">
        <v>9750</v>
      </c>
      <c r="L677">
        <v>4.4000000000000004</v>
      </c>
      <c r="M677">
        <v>54</v>
      </c>
      <c r="N677">
        <v>21</v>
      </c>
      <c r="O677">
        <v>9</v>
      </c>
      <c r="P677">
        <v>1</v>
      </c>
      <c r="Q677">
        <v>9</v>
      </c>
      <c r="R677">
        <v>2017</v>
      </c>
      <c r="S677">
        <v>20.779220779999999</v>
      </c>
      <c r="T677">
        <v>12600</v>
      </c>
      <c r="U677">
        <v>89.9</v>
      </c>
      <c r="V677">
        <v>3.9</v>
      </c>
      <c r="W677">
        <v>18.77652174</v>
      </c>
      <c r="X677">
        <v>163.39870970000001</v>
      </c>
      <c r="Y677">
        <v>4.4000000000000004</v>
      </c>
      <c r="Z677">
        <v>24.3246875</v>
      </c>
      <c r="AA677">
        <v>45.95</v>
      </c>
      <c r="AB677">
        <v>4</v>
      </c>
      <c r="AC677">
        <v>15.1</v>
      </c>
      <c r="AD677">
        <v>199.50980390000001</v>
      </c>
      <c r="AE677">
        <f>Table1[[#This Row],[total_price]]/Table1[[#This Row],[qty]]</f>
        <v>163.19874999999999</v>
      </c>
      <c r="AF677">
        <f t="shared" si="10"/>
        <v>199.51923076923077</v>
      </c>
      <c r="AG677">
        <f>IF(ROW()=2, "", AVERAGE(D$2:D676))</f>
        <v>14.46962962962963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0FF5765-7112-44D0-B5E6-A592C1BBF68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pivot_table</vt:lpstr>
      <vt:lpstr>analysis</vt:lpstr>
      <vt:lpstr>retail_price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AIDAN</dc:creator>
  <cp:lastModifiedBy>Aidan Odenthal</cp:lastModifiedBy>
  <dcterms:created xsi:type="dcterms:W3CDTF">2025-12-13T06:37:23Z</dcterms:created>
  <dcterms:modified xsi:type="dcterms:W3CDTF">2025-12-15T08:14:46Z</dcterms:modified>
</cp:coreProperties>
</file>